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app\Ranking-Anlysis\"/>
    </mc:Choice>
  </mc:AlternateContent>
  <xr:revisionPtr revIDLastSave="0" documentId="13_ncr:1_{479C7DAC-44CA-4B46-AB66-5927F5F9D5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za SP Tar &amp; Ben" sheetId="1" r:id="rId1"/>
    <sheet name="Cal" sheetId="4" state="hidden" r:id="rId2"/>
    <sheet name="Plaza SP Tar" sheetId="3" state="hidden" r:id="rId3"/>
  </sheets>
  <definedNames>
    <definedName name="_xlnm._FilterDatabase" localSheetId="1" hidden="1">Cal!$A$2:$S$697</definedName>
    <definedName name="_xlnm._FilterDatabase" localSheetId="2" hidden="1">'Plaza SP Tar'!$A$2:$E$697</definedName>
    <definedName name="_xlnm._FilterDatabase" localSheetId="0" hidden="1">'Plaza SP Tar &amp; Ben'!$A$1:$K$8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97" i="4" l="1"/>
  <c r="P697" i="4"/>
  <c r="N697" i="4"/>
  <c r="L697" i="4"/>
  <c r="J697" i="4"/>
  <c r="H697" i="4"/>
  <c r="F697" i="4"/>
  <c r="K593" i="3" l="1"/>
  <c r="I322" i="3"/>
  <c r="F676" i="3"/>
  <c r="F642" i="3"/>
  <c r="F612" i="3"/>
  <c r="F579" i="3"/>
  <c r="F548" i="3"/>
  <c r="F517" i="3"/>
  <c r="F486" i="3"/>
  <c r="F454" i="3"/>
  <c r="F421" i="3"/>
  <c r="F390" i="3"/>
  <c r="F358" i="3"/>
  <c r="F326" i="3"/>
  <c r="F296" i="3"/>
  <c r="F263" i="3"/>
  <c r="F231" i="3"/>
  <c r="F192" i="3"/>
  <c r="F157" i="3"/>
  <c r="F120" i="3"/>
  <c r="F81" i="3"/>
  <c r="F45" i="3"/>
  <c r="F5" i="3"/>
  <c r="G43" i="3"/>
  <c r="G78" i="3"/>
  <c r="G117" i="3"/>
  <c r="G158" i="3"/>
  <c r="G198" i="3"/>
  <c r="G241" i="3"/>
  <c r="G290" i="3"/>
  <c r="G340" i="3"/>
  <c r="G395" i="3"/>
  <c r="G451" i="3"/>
  <c r="G508" i="3"/>
  <c r="G566" i="3"/>
  <c r="G620" i="3"/>
  <c r="G680" i="3"/>
  <c r="H46" i="3"/>
  <c r="H112" i="3"/>
  <c r="H175" i="3"/>
  <c r="H238" i="3"/>
  <c r="H306" i="3"/>
  <c r="H377" i="3"/>
  <c r="H448" i="3"/>
  <c r="H518" i="3"/>
  <c r="H596" i="3"/>
  <c r="H676" i="3"/>
  <c r="I72" i="3"/>
  <c r="I154" i="3"/>
  <c r="I241" i="3"/>
  <c r="I428" i="3"/>
  <c r="I542" i="3"/>
  <c r="I674" i="3"/>
  <c r="J126" i="3"/>
  <c r="J312" i="3"/>
  <c r="J521" i="3"/>
  <c r="K35" i="3"/>
  <c r="K228" i="3"/>
  <c r="K440" i="3"/>
  <c r="F674" i="3"/>
  <c r="F641" i="3"/>
  <c r="F611" i="3"/>
  <c r="F578" i="3"/>
  <c r="F547" i="3"/>
  <c r="F516" i="3"/>
  <c r="F482" i="3"/>
  <c r="F452" i="3"/>
  <c r="F420" i="3"/>
  <c r="F389" i="3"/>
  <c r="F357" i="3"/>
  <c r="F325" i="3"/>
  <c r="F295" i="3"/>
  <c r="F260" i="3"/>
  <c r="F230" i="3"/>
  <c r="F191" i="3"/>
  <c r="F155" i="3"/>
  <c r="F118" i="3"/>
  <c r="F80" i="3"/>
  <c r="F42" i="3"/>
  <c r="G3" i="3"/>
  <c r="G44" i="3"/>
  <c r="G80" i="3"/>
  <c r="G119" i="3"/>
  <c r="G159" i="3"/>
  <c r="G200" i="3"/>
  <c r="G243" i="3"/>
  <c r="G291" i="3"/>
  <c r="G343" i="3"/>
  <c r="G397" i="3"/>
  <c r="G452" i="3"/>
  <c r="G509" i="3"/>
  <c r="G567" i="3"/>
  <c r="G624" i="3"/>
  <c r="G681" i="3"/>
  <c r="H47" i="3"/>
  <c r="H113" i="3"/>
  <c r="H176" i="3"/>
  <c r="H242" i="3"/>
  <c r="H307" i="3"/>
  <c r="H380" i="3"/>
  <c r="H449" i="3"/>
  <c r="H520" i="3"/>
  <c r="H598" i="3"/>
  <c r="H677" i="3"/>
  <c r="I73" i="3"/>
  <c r="I155" i="3"/>
  <c r="I242" i="3"/>
  <c r="I326" i="3"/>
  <c r="I430" i="3"/>
  <c r="I543" i="3"/>
  <c r="I682" i="3"/>
  <c r="J131" i="3"/>
  <c r="J315" i="3"/>
  <c r="J522" i="3"/>
  <c r="K38" i="3"/>
  <c r="K236" i="3"/>
  <c r="K441" i="3"/>
  <c r="F673" i="3"/>
  <c r="F640" i="3"/>
  <c r="F610" i="3"/>
  <c r="F576" i="3"/>
  <c r="F546" i="3"/>
  <c r="F513" i="3"/>
  <c r="F481" i="3"/>
  <c r="F451" i="3"/>
  <c r="F419" i="3"/>
  <c r="F388" i="3"/>
  <c r="F355" i="3"/>
  <c r="F323" i="3"/>
  <c r="F292" i="3"/>
  <c r="F259" i="3"/>
  <c r="F229" i="3"/>
  <c r="F190" i="3"/>
  <c r="F150" i="3"/>
  <c r="F117" i="3"/>
  <c r="F79" i="3"/>
  <c r="F37" i="3"/>
  <c r="G4" i="3"/>
  <c r="G45" i="3"/>
  <c r="G87" i="3"/>
  <c r="G120" i="3"/>
  <c r="G161" i="3"/>
  <c r="G208" i="3"/>
  <c r="G244" i="3"/>
  <c r="G292" i="3"/>
  <c r="G344" i="3"/>
  <c r="G398" i="3"/>
  <c r="G453" i="3"/>
  <c r="G510" i="3"/>
  <c r="G568" i="3"/>
  <c r="G626" i="3"/>
  <c r="G682" i="3"/>
  <c r="H51" i="3"/>
  <c r="H114" i="3"/>
  <c r="H177" i="3"/>
  <c r="H243" i="3"/>
  <c r="H309" i="3"/>
  <c r="H381" i="3"/>
  <c r="H450" i="3"/>
  <c r="H521" i="3"/>
  <c r="H600" i="3"/>
  <c r="H680" i="3"/>
  <c r="I75" i="3"/>
  <c r="I156" i="3"/>
  <c r="I243" i="3"/>
  <c r="I328" i="3"/>
  <c r="I431" i="3"/>
  <c r="I544" i="3"/>
  <c r="I683" i="3"/>
  <c r="J136" i="3"/>
  <c r="J336" i="3"/>
  <c r="J525" i="3"/>
  <c r="K39" i="3"/>
  <c r="K252" i="3"/>
  <c r="K446" i="3"/>
  <c r="F672" i="3"/>
  <c r="F637" i="3"/>
  <c r="F608" i="3"/>
  <c r="F575" i="3"/>
  <c r="F545" i="3"/>
  <c r="F512" i="3"/>
  <c r="F480" i="3"/>
  <c r="F450" i="3"/>
  <c r="F416" i="3"/>
  <c r="F386" i="3"/>
  <c r="F354" i="3"/>
  <c r="F322" i="3"/>
  <c r="F291" i="3"/>
  <c r="F258" i="3"/>
  <c r="F226" i="3"/>
  <c r="F189" i="3"/>
  <c r="F149" i="3"/>
  <c r="F114" i="3"/>
  <c r="F76" i="3"/>
  <c r="F36" i="3"/>
  <c r="G7" i="3"/>
  <c r="G46" i="3"/>
  <c r="G88" i="3"/>
  <c r="G124" i="3"/>
  <c r="G163" i="3"/>
  <c r="G209" i="3"/>
  <c r="G250" i="3"/>
  <c r="G293" i="3"/>
  <c r="G346" i="3"/>
  <c r="G400" i="3"/>
  <c r="G455" i="3"/>
  <c r="G512" i="3"/>
  <c r="G569" i="3"/>
  <c r="G627" i="3"/>
  <c r="G684" i="3"/>
  <c r="H53" i="3"/>
  <c r="H117" i="3"/>
  <c r="H180" i="3"/>
  <c r="H246" i="3"/>
  <c r="H311" i="3"/>
  <c r="H382" i="3"/>
  <c r="H451" i="3"/>
  <c r="H527" i="3"/>
  <c r="H601" i="3"/>
  <c r="H686" i="3"/>
  <c r="I76" i="3"/>
  <c r="I157" i="3"/>
  <c r="I244" i="3"/>
  <c r="I332" i="3"/>
  <c r="I434" i="3"/>
  <c r="I545" i="3"/>
  <c r="I686" i="3"/>
  <c r="J150" i="3"/>
  <c r="J338" i="3"/>
  <c r="J526" i="3"/>
  <c r="K40" i="3"/>
  <c r="K256" i="3"/>
  <c r="K451" i="3"/>
  <c r="F669" i="3"/>
  <c r="F636" i="3"/>
  <c r="F607" i="3"/>
  <c r="F574" i="3"/>
  <c r="F543" i="3"/>
  <c r="F510" i="3"/>
  <c r="F479" i="3"/>
  <c r="F447" i="3"/>
  <c r="F415" i="3"/>
  <c r="F385" i="3"/>
  <c r="F353" i="3"/>
  <c r="F321" i="3"/>
  <c r="F289" i="3"/>
  <c r="F257" i="3"/>
  <c r="F223" i="3"/>
  <c r="F187" i="3"/>
  <c r="F148" i="3"/>
  <c r="F113" i="3"/>
  <c r="F74" i="3"/>
  <c r="F34" i="3"/>
  <c r="G8" i="3"/>
  <c r="G48" i="3"/>
  <c r="G89" i="3"/>
  <c r="G125" i="3"/>
  <c r="G165" i="3"/>
  <c r="G210" i="3"/>
  <c r="G251" i="3"/>
  <c r="G296" i="3"/>
  <c r="G347" i="3"/>
  <c r="G401" i="3"/>
  <c r="G456" i="3"/>
  <c r="G513" i="3"/>
  <c r="G570" i="3"/>
  <c r="G628" i="3"/>
  <c r="G685" i="3"/>
  <c r="H54" i="3"/>
  <c r="H119" i="3"/>
  <c r="H182" i="3"/>
  <c r="H247" i="3"/>
  <c r="H316" i="3"/>
  <c r="H383" i="3"/>
  <c r="H453" i="3"/>
  <c r="H529" i="3"/>
  <c r="H602" i="3"/>
  <c r="H689" i="3"/>
  <c r="I77" i="3"/>
  <c r="I161" i="3"/>
  <c r="I247" i="3"/>
  <c r="I341" i="3"/>
  <c r="I435" i="3"/>
  <c r="I547" i="3"/>
  <c r="I688" i="3"/>
  <c r="J151" i="3"/>
  <c r="J339" i="3"/>
  <c r="J528" i="3"/>
  <c r="K41" i="3"/>
  <c r="K257" i="3"/>
  <c r="K477" i="3"/>
  <c r="F668" i="3"/>
  <c r="F635" i="3"/>
  <c r="F606" i="3"/>
  <c r="F571" i="3"/>
  <c r="F541" i="3"/>
  <c r="F509" i="3"/>
  <c r="F478" i="3"/>
  <c r="F446" i="3"/>
  <c r="F413" i="3"/>
  <c r="F383" i="3"/>
  <c r="F349" i="3"/>
  <c r="F319" i="3"/>
  <c r="F287" i="3"/>
  <c r="F256" i="3"/>
  <c r="F221" i="3"/>
  <c r="F186" i="3"/>
  <c r="F147" i="3"/>
  <c r="F111" i="3"/>
  <c r="F73" i="3"/>
  <c r="F32" i="3"/>
  <c r="G10" i="3"/>
  <c r="G49" i="3"/>
  <c r="G90" i="3"/>
  <c r="G127" i="3"/>
  <c r="G166" i="3"/>
  <c r="G211" i="3"/>
  <c r="G253" i="3"/>
  <c r="G297" i="3"/>
  <c r="G348" i="3"/>
  <c r="G404" i="3"/>
  <c r="G457" i="3"/>
  <c r="G515" i="3"/>
  <c r="G571" i="3"/>
  <c r="G629" i="3"/>
  <c r="G687" i="3"/>
  <c r="H56" i="3"/>
  <c r="H120" i="3"/>
  <c r="H183" i="3"/>
  <c r="H248" i="3"/>
  <c r="H317" i="3"/>
  <c r="H385" i="3"/>
  <c r="H457" i="3"/>
  <c r="H530" i="3"/>
  <c r="H605" i="3"/>
  <c r="H690" i="3"/>
  <c r="I79" i="3"/>
  <c r="I167" i="3"/>
  <c r="I248" i="3"/>
  <c r="I342" i="3"/>
  <c r="I438" i="3"/>
  <c r="I551" i="3"/>
  <c r="I690" i="3"/>
  <c r="J153" i="3"/>
  <c r="J342" i="3"/>
  <c r="J529" i="3"/>
  <c r="K42" i="3"/>
  <c r="K258" i="3"/>
  <c r="K481" i="3"/>
  <c r="E3" i="3"/>
  <c r="F665" i="3"/>
  <c r="F634" i="3"/>
  <c r="F601" i="3"/>
  <c r="F570" i="3"/>
  <c r="F539" i="3"/>
  <c r="F508" i="3"/>
  <c r="F476" i="3"/>
  <c r="F443" i="3"/>
  <c r="F412" i="3"/>
  <c r="F380" i="3"/>
  <c r="F348" i="3"/>
  <c r="F318" i="3"/>
  <c r="F286" i="3"/>
  <c r="F255" i="3"/>
  <c r="F216" i="3"/>
  <c r="F185" i="3"/>
  <c r="F146" i="3"/>
  <c r="F106" i="3"/>
  <c r="F72" i="3"/>
  <c r="F31" i="3"/>
  <c r="G16" i="3"/>
  <c r="G50" i="3"/>
  <c r="G91" i="3"/>
  <c r="G133" i="3"/>
  <c r="G167" i="3"/>
  <c r="G213" i="3"/>
  <c r="G259" i="3"/>
  <c r="G299" i="3"/>
  <c r="G354" i="3"/>
  <c r="G409" i="3"/>
  <c r="G463" i="3"/>
  <c r="G519" i="3"/>
  <c r="G576" i="3"/>
  <c r="G634" i="3"/>
  <c r="G695" i="3"/>
  <c r="H61" i="3"/>
  <c r="H125" i="3"/>
  <c r="H190" i="3"/>
  <c r="H255" i="3"/>
  <c r="H323" i="3"/>
  <c r="H390" i="3"/>
  <c r="H463" i="3"/>
  <c r="H535" i="3"/>
  <c r="H616" i="3"/>
  <c r="I4" i="3"/>
  <c r="I84" i="3"/>
  <c r="I173" i="3"/>
  <c r="I260" i="3"/>
  <c r="I348" i="3"/>
  <c r="I452" i="3"/>
  <c r="I566" i="3"/>
  <c r="J6" i="3"/>
  <c r="J177" i="3"/>
  <c r="J373" i="3"/>
  <c r="J561" i="3"/>
  <c r="K60" i="3"/>
  <c r="K287" i="3"/>
  <c r="K490" i="3"/>
  <c r="F696" i="3"/>
  <c r="F663" i="3"/>
  <c r="F633" i="3"/>
  <c r="F600" i="3"/>
  <c r="F569" i="3"/>
  <c r="F538" i="3"/>
  <c r="F505" i="3"/>
  <c r="F474" i="3"/>
  <c r="F442" i="3"/>
  <c r="F411" i="3"/>
  <c r="F379" i="3"/>
  <c r="F347" i="3"/>
  <c r="F317" i="3"/>
  <c r="F282" i="3"/>
  <c r="F253" i="3"/>
  <c r="F215" i="3"/>
  <c r="F180" i="3"/>
  <c r="F145" i="3"/>
  <c r="F105" i="3"/>
  <c r="F69" i="3"/>
  <c r="F30" i="3"/>
  <c r="G18" i="3"/>
  <c r="G53" i="3"/>
  <c r="G92" i="3"/>
  <c r="G134" i="3"/>
  <c r="G171" i="3"/>
  <c r="G214" i="3"/>
  <c r="G260" i="3"/>
  <c r="G304" i="3"/>
  <c r="G358" i="3"/>
  <c r="G413" i="3"/>
  <c r="G469" i="3"/>
  <c r="G523" i="3"/>
  <c r="G580" i="3"/>
  <c r="G639" i="3"/>
  <c r="H5" i="3"/>
  <c r="H66" i="3"/>
  <c r="H130" i="3"/>
  <c r="H196" i="3"/>
  <c r="H259" i="3"/>
  <c r="H328" i="3"/>
  <c r="H396" i="3"/>
  <c r="H469" i="3"/>
  <c r="H542" i="3"/>
  <c r="H621" i="3"/>
  <c r="I7" i="3"/>
  <c r="I94" i="3"/>
  <c r="I179" i="3"/>
  <c r="I266" i="3"/>
  <c r="I353" i="3"/>
  <c r="I459" i="3"/>
  <c r="I571" i="3"/>
  <c r="J24" i="3"/>
  <c r="J188" i="3"/>
  <c r="J376" i="3"/>
  <c r="J569" i="3"/>
  <c r="K88" i="3"/>
  <c r="K296" i="3"/>
  <c r="K511" i="3"/>
  <c r="F695" i="3"/>
  <c r="F662" i="3"/>
  <c r="F632" i="3"/>
  <c r="F598" i="3"/>
  <c r="F568" i="3"/>
  <c r="F535" i="3"/>
  <c r="F503" i="3"/>
  <c r="F473" i="3"/>
  <c r="F441" i="3"/>
  <c r="F410" i="3"/>
  <c r="F377" i="3"/>
  <c r="F346" i="3"/>
  <c r="F314" i="3"/>
  <c r="F281" i="3"/>
  <c r="F252" i="3"/>
  <c r="F214" i="3"/>
  <c r="F179" i="3"/>
  <c r="F142" i="3"/>
  <c r="F103" i="3"/>
  <c r="F68" i="3"/>
  <c r="F28" i="3"/>
  <c r="G19" i="3"/>
  <c r="G54" i="3"/>
  <c r="G94" i="3"/>
  <c r="G135" i="3"/>
  <c r="G172" i="3"/>
  <c r="G216" i="3"/>
  <c r="G261" i="3"/>
  <c r="G306" i="3"/>
  <c r="G359" i="3"/>
  <c r="G414" i="3"/>
  <c r="G470" i="3"/>
  <c r="G524" i="3"/>
  <c r="G581" i="3"/>
  <c r="G640" i="3"/>
  <c r="H6" i="3"/>
  <c r="H68" i="3"/>
  <c r="H131" i="3"/>
  <c r="H197" i="3"/>
  <c r="H260" i="3"/>
  <c r="H330" i="3"/>
  <c r="H399" i="3"/>
  <c r="H470" i="3"/>
  <c r="H547" i="3"/>
  <c r="H623" i="3"/>
  <c r="I8" i="3"/>
  <c r="I97" i="3"/>
  <c r="I180" i="3"/>
  <c r="I269" i="3"/>
  <c r="I356" i="3"/>
  <c r="I460" i="3"/>
  <c r="I575" i="3"/>
  <c r="J29" i="3"/>
  <c r="J189" i="3"/>
  <c r="J378" i="3"/>
  <c r="J581" i="3"/>
  <c r="K103" i="3"/>
  <c r="K298" i="3"/>
  <c r="K512" i="3"/>
  <c r="F694" i="3"/>
  <c r="F659" i="3"/>
  <c r="F630" i="3"/>
  <c r="F597" i="3"/>
  <c r="F567" i="3"/>
  <c r="F534" i="3"/>
  <c r="F502" i="3"/>
  <c r="F472" i="3"/>
  <c r="F438" i="3"/>
  <c r="F408" i="3"/>
  <c r="F376" i="3"/>
  <c r="F345" i="3"/>
  <c r="F313" i="3"/>
  <c r="F280" i="3"/>
  <c r="F251" i="3"/>
  <c r="F213" i="3"/>
  <c r="F177" i="3"/>
  <c r="F141" i="3"/>
  <c r="F102" i="3"/>
  <c r="F66" i="3"/>
  <c r="F27" i="3"/>
  <c r="G20" i="3"/>
  <c r="G57" i="3"/>
  <c r="G95" i="3"/>
  <c r="G136" i="3"/>
  <c r="G175" i="3"/>
  <c r="G217" i="3"/>
  <c r="G263" i="3"/>
  <c r="G308" i="3"/>
  <c r="G361" i="3"/>
  <c r="G416" i="3"/>
  <c r="G472" i="3"/>
  <c r="G527" i="3"/>
  <c r="G588" i="3"/>
  <c r="G643" i="3"/>
  <c r="H9" i="3"/>
  <c r="H70" i="3"/>
  <c r="H133" i="3"/>
  <c r="H200" i="3"/>
  <c r="H263" i="3"/>
  <c r="H333" i="3"/>
  <c r="H402" i="3"/>
  <c r="H474" i="3"/>
  <c r="H551" i="3"/>
  <c r="H628" i="3"/>
  <c r="I14" i="3"/>
  <c r="I101" i="3"/>
  <c r="I187" i="3"/>
  <c r="I273" i="3"/>
  <c r="I358" i="3"/>
  <c r="I462" i="3"/>
  <c r="I588" i="3"/>
  <c r="J39" i="3"/>
  <c r="J198" i="3"/>
  <c r="J381" i="3"/>
  <c r="J590" i="3"/>
  <c r="K111" i="3"/>
  <c r="K320" i="3"/>
  <c r="K519" i="3"/>
  <c r="F691" i="3"/>
  <c r="F658" i="3"/>
  <c r="F629" i="3"/>
  <c r="F596" i="3"/>
  <c r="F566" i="3"/>
  <c r="F532" i="3"/>
  <c r="F501" i="3"/>
  <c r="F469" i="3"/>
  <c r="F437" i="3"/>
  <c r="F407" i="3"/>
  <c r="F375" i="3"/>
  <c r="F343" i="3"/>
  <c r="F311" i="3"/>
  <c r="F279" i="3"/>
  <c r="F248" i="3"/>
  <c r="F212" i="3"/>
  <c r="F172" i="3"/>
  <c r="F139" i="3"/>
  <c r="F101" i="3"/>
  <c r="F60" i="3"/>
  <c r="F26" i="3"/>
  <c r="G21" i="3"/>
  <c r="G64" i="3"/>
  <c r="G96" i="3"/>
  <c r="G137" i="3"/>
  <c r="G180" i="3"/>
  <c r="G218" i="3"/>
  <c r="G264" i="3"/>
  <c r="G314" i="3"/>
  <c r="G369" i="3"/>
  <c r="G424" i="3"/>
  <c r="G477" i="3"/>
  <c r="G536" i="3"/>
  <c r="G593" i="3"/>
  <c r="G651" i="3"/>
  <c r="H16" i="3"/>
  <c r="H80" i="3"/>
  <c r="H145" i="3"/>
  <c r="H208" i="3"/>
  <c r="H274" i="3"/>
  <c r="H339" i="3"/>
  <c r="H412" i="3"/>
  <c r="H485" i="3"/>
  <c r="H558" i="3"/>
  <c r="H634" i="3"/>
  <c r="I28" i="3"/>
  <c r="I109" i="3"/>
  <c r="I198" i="3"/>
  <c r="I278" i="3"/>
  <c r="I373" i="3"/>
  <c r="I480" i="3"/>
  <c r="I598" i="3"/>
  <c r="J57" i="3"/>
  <c r="J231" i="3"/>
  <c r="J419" i="3"/>
  <c r="J598" i="3"/>
  <c r="K123" i="3"/>
  <c r="K336" i="3"/>
  <c r="K550" i="3"/>
  <c r="F690" i="3"/>
  <c r="F657" i="3"/>
  <c r="F628" i="3"/>
  <c r="F593" i="3"/>
  <c r="F563" i="3"/>
  <c r="F531" i="3"/>
  <c r="F500" i="3"/>
  <c r="F468" i="3"/>
  <c r="F436" i="3"/>
  <c r="F406" i="3"/>
  <c r="F371" i="3"/>
  <c r="F341" i="3"/>
  <c r="F310" i="3"/>
  <c r="F278" i="3"/>
  <c r="F247" i="3"/>
  <c r="F211" i="3"/>
  <c r="F171" i="3"/>
  <c r="F136" i="3"/>
  <c r="F100" i="3"/>
  <c r="F59" i="3"/>
  <c r="F22" i="3"/>
  <c r="G23" i="3"/>
  <c r="G65" i="3"/>
  <c r="G100" i="3"/>
  <c r="G138" i="3"/>
  <c r="G183" i="3"/>
  <c r="G223" i="3"/>
  <c r="G266" i="3"/>
  <c r="G315" i="3"/>
  <c r="G370" i="3"/>
  <c r="G426" i="3"/>
  <c r="G478" i="3"/>
  <c r="G538" i="3"/>
  <c r="G594" i="3"/>
  <c r="G652" i="3"/>
  <c r="H17" i="3"/>
  <c r="H81" i="3"/>
  <c r="H146" i="3"/>
  <c r="H209" i="3"/>
  <c r="H275" i="3"/>
  <c r="H341" i="3"/>
  <c r="H413" i="3"/>
  <c r="H487" i="3"/>
  <c r="H559" i="3"/>
  <c r="H637" i="3"/>
  <c r="I31" i="3"/>
  <c r="I113" i="3"/>
  <c r="I200" i="3"/>
  <c r="I280" i="3"/>
  <c r="I375" i="3"/>
  <c r="I485" i="3"/>
  <c r="I602" i="3"/>
  <c r="J59" i="3"/>
  <c r="J232" i="3"/>
  <c r="J437" i="3"/>
  <c r="J618" i="3"/>
  <c r="K124" i="3"/>
  <c r="K338" i="3"/>
  <c r="K554" i="3"/>
  <c r="F687" i="3"/>
  <c r="F656" i="3"/>
  <c r="F623" i="3"/>
  <c r="F592" i="3"/>
  <c r="F562" i="3"/>
  <c r="F530" i="3"/>
  <c r="F499" i="3"/>
  <c r="F466" i="3"/>
  <c r="F434" i="3"/>
  <c r="F402" i="3"/>
  <c r="F370" i="3"/>
  <c r="F340" i="3"/>
  <c r="F308" i="3"/>
  <c r="F277" i="3"/>
  <c r="F243" i="3"/>
  <c r="F209" i="3"/>
  <c r="F170" i="3"/>
  <c r="F135" i="3"/>
  <c r="F97" i="3"/>
  <c r="F58" i="3"/>
  <c r="F21" i="3"/>
  <c r="G25" i="3"/>
  <c r="G66" i="3"/>
  <c r="G101" i="3"/>
  <c r="G141" i="3"/>
  <c r="G184" i="3"/>
  <c r="G224" i="3"/>
  <c r="G269" i="3"/>
  <c r="G316" i="3"/>
  <c r="G371" i="3"/>
  <c r="G427" i="3"/>
  <c r="G480" i="3"/>
  <c r="G539" i="3"/>
  <c r="G595" i="3"/>
  <c r="G653" i="3"/>
  <c r="H18" i="3"/>
  <c r="H82" i="3"/>
  <c r="H148" i="3"/>
  <c r="H211" i="3"/>
  <c r="H276" i="3"/>
  <c r="H346" i="3"/>
  <c r="H416" i="3"/>
  <c r="H488" i="3"/>
  <c r="H560" i="3"/>
  <c r="H639" i="3"/>
  <c r="I32" i="3"/>
  <c r="I115" i="3"/>
  <c r="I201" i="3"/>
  <c r="I281" i="3"/>
  <c r="I381" i="3"/>
  <c r="I486" i="3"/>
  <c r="I603" i="3"/>
  <c r="J60" i="3"/>
  <c r="J233" i="3"/>
  <c r="J441" i="3"/>
  <c r="J626" i="3"/>
  <c r="K128" i="3"/>
  <c r="K339" i="3"/>
  <c r="K564" i="3"/>
  <c r="F686" i="3"/>
  <c r="F655" i="3"/>
  <c r="F622" i="3"/>
  <c r="F591" i="3"/>
  <c r="F560" i="3"/>
  <c r="F527" i="3"/>
  <c r="F496" i="3"/>
  <c r="F465" i="3"/>
  <c r="F433" i="3"/>
  <c r="F401" i="3"/>
  <c r="F369" i="3"/>
  <c r="F339" i="3"/>
  <c r="F305" i="3"/>
  <c r="F275" i="3"/>
  <c r="F242" i="3"/>
  <c r="F208" i="3"/>
  <c r="F169" i="3"/>
  <c r="F133" i="3"/>
  <c r="F96" i="3"/>
  <c r="F57" i="3"/>
  <c r="F19" i="3"/>
  <c r="G26" i="3"/>
  <c r="G67" i="3"/>
  <c r="G104" i="3"/>
  <c r="G143" i="3"/>
  <c r="G186" i="3"/>
  <c r="G228" i="3"/>
  <c r="G270" i="3"/>
  <c r="G317" i="3"/>
  <c r="G372" i="3"/>
  <c r="G428" i="3"/>
  <c r="G483" i="3"/>
  <c r="G540" i="3"/>
  <c r="G596" i="3"/>
  <c r="G655" i="3"/>
  <c r="H20" i="3"/>
  <c r="H86" i="3"/>
  <c r="H149" i="3"/>
  <c r="H212" i="3"/>
  <c r="H277" i="3"/>
  <c r="H348" i="3"/>
  <c r="H418" i="3"/>
  <c r="H490" i="3"/>
  <c r="H562" i="3"/>
  <c r="H642" i="3"/>
  <c r="I33" i="3"/>
  <c r="I119" i="3"/>
  <c r="I202" i="3"/>
  <c r="I285" i="3"/>
  <c r="I382" i="3"/>
  <c r="I488" i="3"/>
  <c r="I607" i="3"/>
  <c r="J62" i="3"/>
  <c r="J234" i="3"/>
  <c r="J442" i="3"/>
  <c r="J630" i="3"/>
  <c r="K142" i="3"/>
  <c r="K346" i="3"/>
  <c r="K585" i="3"/>
  <c r="F685" i="3"/>
  <c r="F654" i="3"/>
  <c r="F620" i="3"/>
  <c r="F590" i="3"/>
  <c r="F557" i="3"/>
  <c r="F526" i="3"/>
  <c r="F495" i="3"/>
  <c r="F463" i="3"/>
  <c r="F432" i="3"/>
  <c r="F399" i="3"/>
  <c r="F368" i="3"/>
  <c r="F336" i="3"/>
  <c r="F303" i="3"/>
  <c r="F274" i="3"/>
  <c r="F238" i="3"/>
  <c r="F207" i="3"/>
  <c r="F168" i="3"/>
  <c r="F128" i="3"/>
  <c r="F95" i="3"/>
  <c r="F54" i="3"/>
  <c r="F13" i="3"/>
  <c r="G27" i="3"/>
  <c r="G68" i="3"/>
  <c r="G110" i="3"/>
  <c r="G144" i="3"/>
  <c r="G187" i="3"/>
  <c r="G233" i="3"/>
  <c r="G271" i="3"/>
  <c r="G319" i="3"/>
  <c r="G374" i="3"/>
  <c r="G430" i="3"/>
  <c r="G484" i="3"/>
  <c r="G541" i="3"/>
  <c r="G597" i="3"/>
  <c r="G656" i="3"/>
  <c r="H23" i="3"/>
  <c r="H87" i="3"/>
  <c r="H150" i="3"/>
  <c r="H213" i="3"/>
  <c r="H278" i="3"/>
  <c r="H349" i="3"/>
  <c r="H419" i="3"/>
  <c r="H491" i="3"/>
  <c r="H563" i="3"/>
  <c r="H647" i="3"/>
  <c r="I34" i="3"/>
  <c r="I121" i="3"/>
  <c r="I203" i="3"/>
  <c r="I287" i="3"/>
  <c r="I383" i="3"/>
  <c r="I489" i="3"/>
  <c r="I609" i="3"/>
  <c r="J64" i="3"/>
  <c r="J245" i="3"/>
  <c r="J445" i="3"/>
  <c r="J631" i="3"/>
  <c r="K146" i="3"/>
  <c r="K358" i="3"/>
  <c r="K586" i="3"/>
  <c r="F681" i="3"/>
  <c r="F652" i="3"/>
  <c r="F619" i="3"/>
  <c r="F589" i="3"/>
  <c r="F556" i="3"/>
  <c r="F525" i="3"/>
  <c r="F494" i="3"/>
  <c r="F460" i="3"/>
  <c r="F430" i="3"/>
  <c r="F398" i="3"/>
  <c r="F367" i="3"/>
  <c r="F335" i="3"/>
  <c r="F302" i="3"/>
  <c r="F273" i="3"/>
  <c r="F237" i="3"/>
  <c r="F202" i="3"/>
  <c r="F167" i="3"/>
  <c r="F127" i="3"/>
  <c r="F92" i="3"/>
  <c r="F53" i="3"/>
  <c r="F12" i="3"/>
  <c r="G30" i="3"/>
  <c r="G69" i="3"/>
  <c r="G111" i="3"/>
  <c r="G147" i="3"/>
  <c r="G188" i="3"/>
  <c r="G235" i="3"/>
  <c r="G276" i="3"/>
  <c r="G320" i="3"/>
  <c r="G375" i="3"/>
  <c r="G431" i="3"/>
  <c r="G486" i="3"/>
  <c r="G543" i="3"/>
  <c r="G600" i="3"/>
  <c r="G657" i="3"/>
  <c r="H26" i="3"/>
  <c r="H88" i="3"/>
  <c r="H151" i="3"/>
  <c r="H216" i="3"/>
  <c r="H279" i="3"/>
  <c r="H353" i="3"/>
  <c r="H420" i="3"/>
  <c r="H492" i="3"/>
  <c r="H565" i="3"/>
  <c r="H650" i="3"/>
  <c r="I35" i="3"/>
  <c r="I122" i="3"/>
  <c r="I205" i="3"/>
  <c r="I292" i="3"/>
  <c r="I384" i="3"/>
  <c r="I491" i="3"/>
  <c r="I623" i="3"/>
  <c r="J65" i="3"/>
  <c r="J254" i="3"/>
  <c r="J446" i="3"/>
  <c r="J635" i="3"/>
  <c r="K151" i="3"/>
  <c r="K363" i="3"/>
  <c r="K587" i="3"/>
  <c r="F680" i="3"/>
  <c r="F651" i="3"/>
  <c r="F618" i="3"/>
  <c r="F588" i="3"/>
  <c r="F554" i="3"/>
  <c r="F523" i="3"/>
  <c r="F491" i="3"/>
  <c r="F459" i="3"/>
  <c r="F429" i="3"/>
  <c r="F397" i="3"/>
  <c r="F366" i="3"/>
  <c r="F333" i="3"/>
  <c r="F301" i="3"/>
  <c r="F270" i="3"/>
  <c r="F236" i="3"/>
  <c r="F201" i="3"/>
  <c r="F165" i="3"/>
  <c r="F126" i="3"/>
  <c r="F91" i="3"/>
  <c r="F51" i="3"/>
  <c r="F10" i="3"/>
  <c r="G31" i="3"/>
  <c r="G71" i="3"/>
  <c r="G112" i="3"/>
  <c r="G148" i="3"/>
  <c r="G191" i="3"/>
  <c r="G236" i="3"/>
  <c r="G277" i="3"/>
  <c r="G328" i="3"/>
  <c r="G381" i="3"/>
  <c r="G436" i="3"/>
  <c r="G492" i="3"/>
  <c r="G548" i="3"/>
  <c r="G606" i="3"/>
  <c r="G664" i="3"/>
  <c r="H30" i="3"/>
  <c r="H93" i="3"/>
  <c r="H156" i="3"/>
  <c r="H221" i="3"/>
  <c r="H290" i="3"/>
  <c r="H358" i="3"/>
  <c r="H428" i="3"/>
  <c r="H497" i="3"/>
  <c r="H578" i="3"/>
  <c r="H655" i="3"/>
  <c r="I45" i="3"/>
  <c r="I131" i="3"/>
  <c r="I214" i="3"/>
  <c r="I301" i="3"/>
  <c r="I394" i="3"/>
  <c r="I503" i="3"/>
  <c r="I629" i="3"/>
  <c r="J94" i="3"/>
  <c r="J268" i="3"/>
  <c r="J456" i="3"/>
  <c r="J658" i="3"/>
  <c r="K178" i="3"/>
  <c r="K399" i="3"/>
  <c r="K696" i="3"/>
  <c r="K676" i="3"/>
  <c r="K689" i="3"/>
  <c r="K669" i="3"/>
  <c r="K649" i="3"/>
  <c r="K629" i="3"/>
  <c r="K609" i="3"/>
  <c r="K589" i="3"/>
  <c r="K569" i="3"/>
  <c r="K549" i="3"/>
  <c r="K529" i="3"/>
  <c r="K509" i="3"/>
  <c r="K489" i="3"/>
  <c r="K469" i="3"/>
  <c r="K449" i="3"/>
  <c r="K429" i="3"/>
  <c r="K409" i="3"/>
  <c r="K389" i="3"/>
  <c r="K369" i="3"/>
  <c r="K349" i="3"/>
  <c r="K329" i="3"/>
  <c r="K309" i="3"/>
  <c r="K289" i="3"/>
  <c r="K269" i="3"/>
  <c r="K249" i="3"/>
  <c r="K229" i="3"/>
  <c r="K209" i="3"/>
  <c r="K189" i="3"/>
  <c r="K169" i="3"/>
  <c r="K149" i="3"/>
  <c r="K129" i="3"/>
  <c r="K109" i="3"/>
  <c r="K89" i="3"/>
  <c r="K69" i="3"/>
  <c r="K49" i="3"/>
  <c r="K29" i="3"/>
  <c r="K9" i="3"/>
  <c r="J683" i="3"/>
  <c r="J663" i="3"/>
  <c r="J643" i="3"/>
  <c r="J623" i="3"/>
  <c r="J603" i="3"/>
  <c r="J583" i="3"/>
  <c r="J563" i="3"/>
  <c r="J543" i="3"/>
  <c r="J523" i="3"/>
  <c r="J503" i="3"/>
  <c r="J483" i="3"/>
  <c r="J463" i="3"/>
  <c r="J443" i="3"/>
  <c r="J423" i="3"/>
  <c r="J403" i="3"/>
  <c r="J383" i="3"/>
  <c r="J363" i="3"/>
  <c r="J343" i="3"/>
  <c r="J323" i="3"/>
  <c r="J303" i="3"/>
  <c r="J283" i="3"/>
  <c r="J263" i="3"/>
  <c r="J243" i="3"/>
  <c r="J223" i="3"/>
  <c r="J203" i="3"/>
  <c r="J183" i="3"/>
  <c r="J163" i="3"/>
  <c r="J143" i="3"/>
  <c r="J123" i="3"/>
  <c r="J103" i="3"/>
  <c r="J83" i="3"/>
  <c r="J63" i="3"/>
  <c r="J43" i="3"/>
  <c r="J23" i="3"/>
  <c r="J3" i="3"/>
  <c r="I677" i="3"/>
  <c r="I657" i="3"/>
  <c r="I637" i="3"/>
  <c r="I617" i="3"/>
  <c r="I597" i="3"/>
  <c r="I577" i="3"/>
  <c r="I557" i="3"/>
  <c r="I537" i="3"/>
  <c r="I517" i="3"/>
  <c r="I497" i="3"/>
  <c r="I477" i="3"/>
  <c r="I457" i="3"/>
  <c r="I437" i="3"/>
  <c r="I417" i="3"/>
  <c r="I397" i="3"/>
  <c r="K687" i="3"/>
  <c r="K665" i="3"/>
  <c r="K644" i="3"/>
  <c r="K623" i="3"/>
  <c r="K602" i="3"/>
  <c r="K581" i="3"/>
  <c r="K560" i="3"/>
  <c r="K539" i="3"/>
  <c r="K518" i="3"/>
  <c r="K497" i="3"/>
  <c r="K476" i="3"/>
  <c r="K455" i="3"/>
  <c r="K434" i="3"/>
  <c r="K413" i="3"/>
  <c r="K392" i="3"/>
  <c r="K371" i="3"/>
  <c r="K350" i="3"/>
  <c r="K328" i="3"/>
  <c r="K307" i="3"/>
  <c r="K286" i="3"/>
  <c r="K265" i="3"/>
  <c r="K244" i="3"/>
  <c r="K223" i="3"/>
  <c r="K202" i="3"/>
  <c r="K181" i="3"/>
  <c r="K160" i="3"/>
  <c r="K139" i="3"/>
  <c r="K118" i="3"/>
  <c r="K97" i="3"/>
  <c r="K76" i="3"/>
  <c r="K55" i="3"/>
  <c r="K34" i="3"/>
  <c r="K13" i="3"/>
  <c r="J686" i="3"/>
  <c r="J665" i="3"/>
  <c r="J644" i="3"/>
  <c r="J622" i="3"/>
  <c r="J601" i="3"/>
  <c r="J580" i="3"/>
  <c r="J559" i="3"/>
  <c r="J538" i="3"/>
  <c r="J517" i="3"/>
  <c r="J496" i="3"/>
  <c r="J475" i="3"/>
  <c r="J454" i="3"/>
  <c r="J433" i="3"/>
  <c r="J412" i="3"/>
  <c r="J391" i="3"/>
  <c r="J370" i="3"/>
  <c r="J349" i="3"/>
  <c r="J328" i="3"/>
  <c r="J307" i="3"/>
  <c r="J286" i="3"/>
  <c r="J265" i="3"/>
  <c r="J244" i="3"/>
  <c r="J222" i="3"/>
  <c r="J201" i="3"/>
  <c r="J180" i="3"/>
  <c r="J159" i="3"/>
  <c r="J138" i="3"/>
  <c r="J117" i="3"/>
  <c r="J96" i="3"/>
  <c r="J75" i="3"/>
  <c r="J54" i="3"/>
  <c r="J33" i="3"/>
  <c r="J12" i="3"/>
  <c r="I685" i="3"/>
  <c r="I664" i="3"/>
  <c r="I643" i="3"/>
  <c r="I622" i="3"/>
  <c r="I601" i="3"/>
  <c r="I580" i="3"/>
  <c r="I559" i="3"/>
  <c r="I538" i="3"/>
  <c r="I516" i="3"/>
  <c r="I495" i="3"/>
  <c r="I474" i="3"/>
  <c r="I453" i="3"/>
  <c r="I432" i="3"/>
  <c r="I411" i="3"/>
  <c r="I390" i="3"/>
  <c r="I370" i="3"/>
  <c r="I350" i="3"/>
  <c r="I330" i="3"/>
  <c r="I310" i="3"/>
  <c r="I290" i="3"/>
  <c r="I270" i="3"/>
  <c r="I250" i="3"/>
  <c r="I230" i="3"/>
  <c r="I210" i="3"/>
  <c r="I190" i="3"/>
  <c r="I170" i="3"/>
  <c r="I150" i="3"/>
  <c r="I130" i="3"/>
  <c r="I110" i="3"/>
  <c r="I90" i="3"/>
  <c r="I70" i="3"/>
  <c r="I50" i="3"/>
  <c r="I30" i="3"/>
  <c r="I10" i="3"/>
  <c r="H684" i="3"/>
  <c r="H664" i="3"/>
  <c r="H644" i="3"/>
  <c r="H624" i="3"/>
  <c r="H604" i="3"/>
  <c r="H584" i="3"/>
  <c r="H564" i="3"/>
  <c r="H544" i="3"/>
  <c r="H524" i="3"/>
  <c r="H504" i="3"/>
  <c r="H484" i="3"/>
  <c r="H464" i="3"/>
  <c r="H444" i="3"/>
  <c r="H424" i="3"/>
  <c r="H404" i="3"/>
  <c r="H384" i="3"/>
  <c r="H364" i="3"/>
  <c r="H344" i="3"/>
  <c r="H324" i="3"/>
  <c r="H304" i="3"/>
  <c r="H284" i="3"/>
  <c r="H264" i="3"/>
  <c r="H244" i="3"/>
  <c r="H224" i="3"/>
  <c r="H204" i="3"/>
  <c r="H184" i="3"/>
  <c r="H164" i="3"/>
  <c r="H144" i="3"/>
  <c r="H124" i="3"/>
  <c r="H104" i="3"/>
  <c r="H84" i="3"/>
  <c r="H64" i="3"/>
  <c r="H44" i="3"/>
  <c r="H24" i="3"/>
  <c r="H4" i="3"/>
  <c r="G678" i="3"/>
  <c r="K686" i="3"/>
  <c r="K664" i="3"/>
  <c r="K643" i="3"/>
  <c r="K622" i="3"/>
  <c r="K601" i="3"/>
  <c r="K580" i="3"/>
  <c r="K559" i="3"/>
  <c r="K538" i="3"/>
  <c r="K517" i="3"/>
  <c r="K496" i="3"/>
  <c r="K475" i="3"/>
  <c r="K454" i="3"/>
  <c r="K433" i="3"/>
  <c r="K412" i="3"/>
  <c r="K391" i="3"/>
  <c r="K370" i="3"/>
  <c r="K348" i="3"/>
  <c r="K327" i="3"/>
  <c r="K306" i="3"/>
  <c r="K285" i="3"/>
  <c r="K264" i="3"/>
  <c r="K243" i="3"/>
  <c r="K222" i="3"/>
  <c r="K201" i="3"/>
  <c r="K180" i="3"/>
  <c r="K159" i="3"/>
  <c r="K138" i="3"/>
  <c r="K117" i="3"/>
  <c r="K96" i="3"/>
  <c r="K75" i="3"/>
  <c r="K54" i="3"/>
  <c r="K33" i="3"/>
  <c r="K12" i="3"/>
  <c r="J685" i="3"/>
  <c r="J664" i="3"/>
  <c r="J642" i="3"/>
  <c r="J621" i="3"/>
  <c r="J600" i="3"/>
  <c r="J579" i="3"/>
  <c r="J558" i="3"/>
  <c r="J537" i="3"/>
  <c r="J516" i="3"/>
  <c r="J495" i="3"/>
  <c r="J474" i="3"/>
  <c r="J453" i="3"/>
  <c r="J432" i="3"/>
  <c r="J411" i="3"/>
  <c r="J390" i="3"/>
  <c r="J369" i="3"/>
  <c r="J348" i="3"/>
  <c r="J327" i="3"/>
  <c r="J306" i="3"/>
  <c r="J285" i="3"/>
  <c r="J264" i="3"/>
  <c r="J242" i="3"/>
  <c r="J221" i="3"/>
  <c r="J200" i="3"/>
  <c r="J179" i="3"/>
  <c r="J158" i="3"/>
  <c r="J137" i="3"/>
  <c r="J116" i="3"/>
  <c r="J95" i="3"/>
  <c r="J74" i="3"/>
  <c r="J53" i="3"/>
  <c r="J32" i="3"/>
  <c r="J11" i="3"/>
  <c r="I684" i="3"/>
  <c r="I663" i="3"/>
  <c r="I642" i="3"/>
  <c r="I621" i="3"/>
  <c r="I600" i="3"/>
  <c r="K685" i="3"/>
  <c r="K663" i="3"/>
  <c r="K642" i="3"/>
  <c r="K621" i="3"/>
  <c r="K600" i="3"/>
  <c r="K579" i="3"/>
  <c r="K558" i="3"/>
  <c r="K537" i="3"/>
  <c r="K516" i="3"/>
  <c r="K495" i="3"/>
  <c r="K474" i="3"/>
  <c r="K453" i="3"/>
  <c r="K432" i="3"/>
  <c r="K411" i="3"/>
  <c r="K390" i="3"/>
  <c r="K368" i="3"/>
  <c r="K347" i="3"/>
  <c r="K326" i="3"/>
  <c r="K305" i="3"/>
  <c r="K284" i="3"/>
  <c r="K263" i="3"/>
  <c r="K242" i="3"/>
  <c r="K221" i="3"/>
  <c r="K200" i="3"/>
  <c r="K179" i="3"/>
  <c r="K158" i="3"/>
  <c r="K137" i="3"/>
  <c r="K116" i="3"/>
  <c r="K95" i="3"/>
  <c r="K74" i="3"/>
  <c r="K53" i="3"/>
  <c r="K32" i="3"/>
  <c r="K11" i="3"/>
  <c r="J684" i="3"/>
  <c r="J662" i="3"/>
  <c r="J641" i="3"/>
  <c r="J620" i="3"/>
  <c r="J599" i="3"/>
  <c r="J578" i="3"/>
  <c r="J557" i="3"/>
  <c r="J536" i="3"/>
  <c r="J515" i="3"/>
  <c r="J494" i="3"/>
  <c r="J473" i="3"/>
  <c r="J452" i="3"/>
  <c r="J431" i="3"/>
  <c r="J410" i="3"/>
  <c r="J389" i="3"/>
  <c r="J368" i="3"/>
  <c r="J347" i="3"/>
  <c r="J326" i="3"/>
  <c r="J305" i="3"/>
  <c r="J284" i="3"/>
  <c r="J262" i="3"/>
  <c r="J241" i="3"/>
  <c r="J220" i="3"/>
  <c r="J199" i="3"/>
  <c r="J178" i="3"/>
  <c r="J157" i="3"/>
  <c r="K682" i="3"/>
  <c r="K660" i="3"/>
  <c r="K639" i="3"/>
  <c r="K618" i="3"/>
  <c r="K597" i="3"/>
  <c r="K576" i="3"/>
  <c r="K555" i="3"/>
  <c r="K534" i="3"/>
  <c r="K513" i="3"/>
  <c r="K492" i="3"/>
  <c r="K471" i="3"/>
  <c r="K450" i="3"/>
  <c r="K428" i="3"/>
  <c r="K407" i="3"/>
  <c r="K386" i="3"/>
  <c r="K365" i="3"/>
  <c r="K344" i="3"/>
  <c r="K323" i="3"/>
  <c r="K302" i="3"/>
  <c r="K281" i="3"/>
  <c r="K260" i="3"/>
  <c r="K239" i="3"/>
  <c r="K218" i="3"/>
  <c r="K197" i="3"/>
  <c r="K176" i="3"/>
  <c r="K155" i="3"/>
  <c r="K134" i="3"/>
  <c r="K113" i="3"/>
  <c r="K92" i="3"/>
  <c r="K71" i="3"/>
  <c r="K50" i="3"/>
  <c r="K28" i="3"/>
  <c r="K7" i="3"/>
  <c r="J680" i="3"/>
  <c r="J659" i="3"/>
  <c r="J638" i="3"/>
  <c r="J617" i="3"/>
  <c r="J596" i="3"/>
  <c r="J575" i="3"/>
  <c r="J554" i="3"/>
  <c r="J533" i="3"/>
  <c r="J512" i="3"/>
  <c r="J491" i="3"/>
  <c r="J470" i="3"/>
  <c r="J449" i="3"/>
  <c r="J428" i="3"/>
  <c r="J407" i="3"/>
  <c r="J386" i="3"/>
  <c r="J365" i="3"/>
  <c r="J344" i="3"/>
  <c r="J322" i="3"/>
  <c r="J301" i="3"/>
  <c r="J280" i="3"/>
  <c r="J259" i="3"/>
  <c r="J238" i="3"/>
  <c r="J217" i="3"/>
  <c r="J196" i="3"/>
  <c r="J175" i="3"/>
  <c r="J154" i="3"/>
  <c r="J133" i="3"/>
  <c r="J112" i="3"/>
  <c r="J91" i="3"/>
  <c r="J70" i="3"/>
  <c r="J49" i="3"/>
  <c r="J28" i="3"/>
  <c r="J7" i="3"/>
  <c r="I680" i="3"/>
  <c r="I659" i="3"/>
  <c r="I638" i="3"/>
  <c r="I616" i="3"/>
  <c r="I595" i="3"/>
  <c r="I574" i="3"/>
  <c r="I553" i="3"/>
  <c r="I532" i="3"/>
  <c r="I511" i="3"/>
  <c r="I490" i="3"/>
  <c r="I469" i="3"/>
  <c r="I448" i="3"/>
  <c r="I427" i="3"/>
  <c r="I406" i="3"/>
  <c r="I385" i="3"/>
  <c r="I365" i="3"/>
  <c r="I345" i="3"/>
  <c r="I325" i="3"/>
  <c r="I305" i="3"/>
  <c r="K693" i="3"/>
  <c r="K683" i="3"/>
  <c r="K656" i="3"/>
  <c r="K631" i="3"/>
  <c r="K605" i="3"/>
  <c r="K577" i="3"/>
  <c r="K551" i="3"/>
  <c r="K525" i="3"/>
  <c r="K500" i="3"/>
  <c r="K472" i="3"/>
  <c r="K445" i="3"/>
  <c r="K420" i="3"/>
  <c r="K395" i="3"/>
  <c r="K366" i="3"/>
  <c r="K340" i="3"/>
  <c r="K315" i="3"/>
  <c r="K290" i="3"/>
  <c r="K261" i="3"/>
  <c r="K235" i="3"/>
  <c r="K210" i="3"/>
  <c r="K184" i="3"/>
  <c r="K156" i="3"/>
  <c r="K130" i="3"/>
  <c r="K104" i="3"/>
  <c r="K79" i="3"/>
  <c r="K51" i="3"/>
  <c r="K24" i="3"/>
  <c r="J693" i="3"/>
  <c r="J668" i="3"/>
  <c r="J639" i="3"/>
  <c r="J613" i="3"/>
  <c r="J588" i="3"/>
  <c r="J562" i="3"/>
  <c r="J534" i="3"/>
  <c r="J508" i="3"/>
  <c r="J482" i="3"/>
  <c r="J457" i="3"/>
  <c r="J429" i="3"/>
  <c r="J402" i="3"/>
  <c r="J377" i="3"/>
  <c r="J352" i="3"/>
  <c r="J324" i="3"/>
  <c r="J297" i="3"/>
  <c r="J272" i="3"/>
  <c r="J247" i="3"/>
  <c r="J218" i="3"/>
  <c r="J192" i="3"/>
  <c r="J167" i="3"/>
  <c r="J141" i="3"/>
  <c r="J115" i="3"/>
  <c r="J90" i="3"/>
  <c r="J66" i="3"/>
  <c r="J41" i="3"/>
  <c r="J17" i="3"/>
  <c r="I687" i="3"/>
  <c r="I661" i="3"/>
  <c r="I635" i="3"/>
  <c r="I611" i="3"/>
  <c r="I587" i="3"/>
  <c r="I564" i="3"/>
  <c r="I541" i="3"/>
  <c r="I518" i="3"/>
  <c r="I493" i="3"/>
  <c r="I470" i="3"/>
  <c r="I446" i="3"/>
  <c r="I423" i="3"/>
  <c r="I400" i="3"/>
  <c r="I377" i="3"/>
  <c r="I355" i="3"/>
  <c r="I333" i="3"/>
  <c r="I311" i="3"/>
  <c r="I288" i="3"/>
  <c r="I267" i="3"/>
  <c r="I246" i="3"/>
  <c r="I225" i="3"/>
  <c r="I204" i="3"/>
  <c r="I183" i="3"/>
  <c r="I162" i="3"/>
  <c r="I141" i="3"/>
  <c r="I120" i="3"/>
  <c r="I99" i="3"/>
  <c r="I78" i="3"/>
  <c r="I57" i="3"/>
  <c r="I36" i="3"/>
  <c r="I15" i="3"/>
  <c r="H688" i="3"/>
  <c r="K695" i="3"/>
  <c r="K666" i="3"/>
  <c r="K636" i="3"/>
  <c r="K610" i="3"/>
  <c r="K583" i="3"/>
  <c r="K553" i="3"/>
  <c r="K526" i="3"/>
  <c r="K499" i="3"/>
  <c r="K468" i="3"/>
  <c r="K442" i="3"/>
  <c r="K416" i="3"/>
  <c r="K385" i="3"/>
  <c r="K359" i="3"/>
  <c r="K333" i="3"/>
  <c r="K303" i="3"/>
  <c r="K276" i="3"/>
  <c r="K250" i="3"/>
  <c r="K220" i="3"/>
  <c r="K193" i="3"/>
  <c r="K166" i="3"/>
  <c r="K140" i="3"/>
  <c r="K110" i="3"/>
  <c r="K83" i="3"/>
  <c r="K57" i="3"/>
  <c r="K26" i="3"/>
  <c r="J694" i="3"/>
  <c r="J667" i="3"/>
  <c r="J636" i="3"/>
  <c r="J610" i="3"/>
  <c r="J584" i="3"/>
  <c r="J553" i="3"/>
  <c r="J527" i="3"/>
  <c r="J500" i="3"/>
  <c r="J471" i="3"/>
  <c r="J444" i="3"/>
  <c r="J417" i="3"/>
  <c r="J388" i="3"/>
  <c r="J360" i="3"/>
  <c r="J334" i="3"/>
  <c r="J308" i="3"/>
  <c r="J277" i="3"/>
  <c r="J251" i="3"/>
  <c r="J225" i="3"/>
  <c r="J194" i="3"/>
  <c r="J168" i="3"/>
  <c r="J140" i="3"/>
  <c r="J113" i="3"/>
  <c r="J87" i="3"/>
  <c r="J61" i="3"/>
  <c r="J36" i="3"/>
  <c r="J9" i="3"/>
  <c r="I676" i="3"/>
  <c r="I651" i="3"/>
  <c r="I626" i="3"/>
  <c r="I599" i="3"/>
  <c r="I573" i="3"/>
  <c r="I549" i="3"/>
  <c r="I525" i="3"/>
  <c r="I501" i="3"/>
  <c r="I476" i="3"/>
  <c r="I451" i="3"/>
  <c r="I426" i="3"/>
  <c r="I402" i="3"/>
  <c r="I378" i="3"/>
  <c r="I354" i="3"/>
  <c r="I331" i="3"/>
  <c r="I307" i="3"/>
  <c r="I284" i="3"/>
  <c r="I262" i="3"/>
  <c r="I240" i="3"/>
  <c r="I218" i="3"/>
  <c r="I196" i="3"/>
  <c r="I174" i="3"/>
  <c r="I152" i="3"/>
  <c r="I129" i="3"/>
  <c r="I107" i="3"/>
  <c r="I85" i="3"/>
  <c r="I63" i="3"/>
  <c r="I41" i="3"/>
  <c r="I19" i="3"/>
  <c r="H691" i="3"/>
  <c r="H669" i="3"/>
  <c r="H648" i="3"/>
  <c r="H627" i="3"/>
  <c r="H606" i="3"/>
  <c r="K694" i="3"/>
  <c r="K662" i="3"/>
  <c r="K691" i="3"/>
  <c r="K659" i="3"/>
  <c r="K633" i="3"/>
  <c r="K606" i="3"/>
  <c r="K575" i="3"/>
  <c r="K548" i="3"/>
  <c r="K522" i="3"/>
  <c r="K493" i="3"/>
  <c r="K465" i="3"/>
  <c r="K439" i="3"/>
  <c r="K410" i="3"/>
  <c r="K382" i="3"/>
  <c r="K356" i="3"/>
  <c r="K330" i="3"/>
  <c r="K299" i="3"/>
  <c r="K273" i="3"/>
  <c r="K246" i="3"/>
  <c r="K216" i="3"/>
  <c r="K190" i="3"/>
  <c r="K163" i="3"/>
  <c r="K133" i="3"/>
  <c r="K106" i="3"/>
  <c r="K80" i="3"/>
  <c r="K48" i="3"/>
  <c r="K22" i="3"/>
  <c r="J690" i="3"/>
  <c r="J660" i="3"/>
  <c r="J633" i="3"/>
  <c r="J607" i="3"/>
  <c r="J577" i="3"/>
  <c r="J550" i="3"/>
  <c r="J524" i="3"/>
  <c r="J497" i="3"/>
  <c r="J467" i="3"/>
  <c r="J440" i="3"/>
  <c r="J414" i="3"/>
  <c r="J384" i="3"/>
  <c r="J357" i="3"/>
  <c r="J331" i="3"/>
  <c r="J300" i="3"/>
  <c r="J274" i="3"/>
  <c r="J248" i="3"/>
  <c r="J216" i="3"/>
  <c r="J190" i="3"/>
  <c r="J164" i="3"/>
  <c r="J135" i="3"/>
  <c r="J109" i="3"/>
  <c r="J84" i="3"/>
  <c r="J58" i="3"/>
  <c r="J31" i="3"/>
  <c r="J5" i="3"/>
  <c r="K681" i="3"/>
  <c r="K654" i="3"/>
  <c r="K627" i="3"/>
  <c r="K598" i="3"/>
  <c r="K571" i="3"/>
  <c r="K544" i="3"/>
  <c r="K515" i="3"/>
  <c r="K487" i="3"/>
  <c r="K461" i="3"/>
  <c r="K435" i="3"/>
  <c r="K404" i="3"/>
  <c r="K378" i="3"/>
  <c r="K352" i="3"/>
  <c r="K321" i="3"/>
  <c r="K295" i="3"/>
  <c r="K268" i="3"/>
  <c r="K238" i="3"/>
  <c r="K212" i="3"/>
  <c r="K185" i="3"/>
  <c r="K154" i="3"/>
  <c r="K127" i="3"/>
  <c r="K101" i="3"/>
  <c r="K72" i="3"/>
  <c r="K44" i="3"/>
  <c r="K18" i="3"/>
  <c r="J682" i="3"/>
  <c r="J655" i="3"/>
  <c r="J629" i="3"/>
  <c r="J602" i="3"/>
  <c r="J572" i="3"/>
  <c r="J546" i="3"/>
  <c r="J519" i="3"/>
  <c r="J489" i="3"/>
  <c r="J462" i="3"/>
  <c r="J436" i="3"/>
  <c r="J406" i="3"/>
  <c r="J379" i="3"/>
  <c r="J353" i="3"/>
  <c r="J321" i="3"/>
  <c r="J295" i="3"/>
  <c r="J269" i="3"/>
  <c r="J239" i="3"/>
  <c r="J212" i="3"/>
  <c r="J186" i="3"/>
  <c r="J156" i="3"/>
  <c r="J130" i="3"/>
  <c r="J105" i="3"/>
  <c r="J79" i="3"/>
  <c r="J52" i="3"/>
  <c r="J26" i="3"/>
  <c r="I694" i="3"/>
  <c r="I669" i="3"/>
  <c r="I644" i="3"/>
  <c r="I615" i="3"/>
  <c r="K674" i="3"/>
  <c r="K640" i="3"/>
  <c r="K608" i="3"/>
  <c r="K573" i="3"/>
  <c r="K542" i="3"/>
  <c r="K508" i="3"/>
  <c r="K479" i="3"/>
  <c r="K444" i="3"/>
  <c r="K414" i="3"/>
  <c r="K379" i="3"/>
  <c r="K345" i="3"/>
  <c r="K314" i="3"/>
  <c r="K280" i="3"/>
  <c r="K251" i="3"/>
  <c r="K215" i="3"/>
  <c r="K183" i="3"/>
  <c r="K150" i="3"/>
  <c r="K120" i="3"/>
  <c r="K86" i="3"/>
  <c r="K56" i="3"/>
  <c r="K20" i="3"/>
  <c r="J679" i="3"/>
  <c r="J650" i="3"/>
  <c r="J616" i="3"/>
  <c r="J586" i="3"/>
  <c r="J551" i="3"/>
  <c r="J520" i="3"/>
  <c r="J486" i="3"/>
  <c r="J455" i="3"/>
  <c r="J421" i="3"/>
  <c r="J392" i="3"/>
  <c r="J356" i="3"/>
  <c r="J320" i="3"/>
  <c r="J291" i="3"/>
  <c r="J257" i="3"/>
  <c r="J228" i="3"/>
  <c r="J193" i="3"/>
  <c r="J161" i="3"/>
  <c r="J128" i="3"/>
  <c r="K673" i="3"/>
  <c r="K638" i="3"/>
  <c r="K607" i="3"/>
  <c r="K572" i="3"/>
  <c r="K541" i="3"/>
  <c r="K507" i="3"/>
  <c r="K478" i="3"/>
  <c r="K443" i="3"/>
  <c r="K408" i="3"/>
  <c r="K377" i="3"/>
  <c r="K343" i="3"/>
  <c r="K313" i="3"/>
  <c r="K279" i="3"/>
  <c r="K248" i="3"/>
  <c r="K214" i="3"/>
  <c r="K182" i="3"/>
  <c r="K148" i="3"/>
  <c r="K119" i="3"/>
  <c r="K85" i="3"/>
  <c r="K52" i="3"/>
  <c r="K19" i="3"/>
  <c r="J678" i="3"/>
  <c r="J649" i="3"/>
  <c r="J615" i="3"/>
  <c r="J585" i="3"/>
  <c r="J549" i="3"/>
  <c r="J518" i="3"/>
  <c r="J485" i="3"/>
  <c r="J451" i="3"/>
  <c r="J420" i="3"/>
  <c r="J387" i="3"/>
  <c r="J355" i="3"/>
  <c r="J319" i="3"/>
  <c r="J290" i="3"/>
  <c r="J256" i="3"/>
  <c r="J227" i="3"/>
  <c r="J191" i="3"/>
  <c r="J160" i="3"/>
  <c r="J127" i="3"/>
  <c r="J98" i="3"/>
  <c r="J67" i="3"/>
  <c r="J37" i="3"/>
  <c r="J4" i="3"/>
  <c r="I670" i="3"/>
  <c r="I640" i="3"/>
  <c r="I610" i="3"/>
  <c r="I584" i="3"/>
  <c r="I558" i="3"/>
  <c r="I531" i="3"/>
  <c r="I506" i="3"/>
  <c r="I481" i="3"/>
  <c r="I455" i="3"/>
  <c r="I429" i="3"/>
  <c r="I403" i="3"/>
  <c r="I376" i="3"/>
  <c r="I352" i="3"/>
  <c r="I327" i="3"/>
  <c r="I302" i="3"/>
  <c r="I279" i="3"/>
  <c r="I256" i="3"/>
  <c r="I233" i="3"/>
  <c r="I209" i="3"/>
  <c r="I186" i="3"/>
  <c r="I163" i="3"/>
  <c r="I139" i="3"/>
  <c r="I116" i="3"/>
  <c r="I93" i="3"/>
  <c r="I69" i="3"/>
  <c r="I46" i="3"/>
  <c r="I23" i="3"/>
  <c r="H694" i="3"/>
  <c r="H671" i="3"/>
  <c r="H649" i="3"/>
  <c r="H626" i="3"/>
  <c r="H603" i="3"/>
  <c r="H582" i="3"/>
  <c r="H561" i="3"/>
  <c r="H540" i="3"/>
  <c r="H519" i="3"/>
  <c r="H498" i="3"/>
  <c r="H477" i="3"/>
  <c r="H456" i="3"/>
  <c r="H435" i="3"/>
  <c r="H414" i="3"/>
  <c r="H393" i="3"/>
  <c r="K692" i="3"/>
  <c r="K651" i="3"/>
  <c r="K615" i="3"/>
  <c r="K582" i="3"/>
  <c r="K543" i="3"/>
  <c r="K505" i="3"/>
  <c r="K467" i="3"/>
  <c r="K431" i="3"/>
  <c r="K398" i="3"/>
  <c r="K361" i="3"/>
  <c r="K324" i="3"/>
  <c r="K291" i="3"/>
  <c r="K254" i="3"/>
  <c r="K217" i="3"/>
  <c r="K177" i="3"/>
  <c r="K144" i="3"/>
  <c r="K107" i="3"/>
  <c r="K68" i="3"/>
  <c r="K37" i="3"/>
  <c r="J695" i="3"/>
  <c r="J656" i="3"/>
  <c r="J624" i="3"/>
  <c r="J587" i="3"/>
  <c r="J547" i="3"/>
  <c r="J510" i="3"/>
  <c r="J477" i="3"/>
  <c r="J439" i="3"/>
  <c r="J401" i="3"/>
  <c r="J367" i="3"/>
  <c r="J333" i="3"/>
  <c r="J294" i="3"/>
  <c r="J258" i="3"/>
  <c r="J224" i="3"/>
  <c r="J185" i="3"/>
  <c r="J149" i="3"/>
  <c r="J118" i="3"/>
  <c r="J82" i="3"/>
  <c r="J50" i="3"/>
  <c r="J19" i="3"/>
  <c r="I681" i="3"/>
  <c r="I650" i="3"/>
  <c r="I620" i="3"/>
  <c r="I590" i="3"/>
  <c r="I563" i="3"/>
  <c r="I535" i="3"/>
  <c r="I508" i="3"/>
  <c r="I482" i="3"/>
  <c r="I454" i="3"/>
  <c r="I425" i="3"/>
  <c r="I398" i="3"/>
  <c r="I372" i="3"/>
  <c r="I346" i="3"/>
  <c r="I320" i="3"/>
  <c r="I295" i="3"/>
  <c r="I271" i="3"/>
  <c r="I245" i="3"/>
  <c r="I221" i="3"/>
  <c r="I197" i="3"/>
  <c r="I172" i="3"/>
  <c r="I147" i="3"/>
  <c r="I123" i="3"/>
  <c r="I98" i="3"/>
  <c r="I74" i="3"/>
  <c r="I49" i="3"/>
  <c r="I25" i="3"/>
  <c r="H695" i="3"/>
  <c r="H670" i="3"/>
  <c r="H646" i="3"/>
  <c r="H622" i="3"/>
  <c r="H599" i="3"/>
  <c r="H577" i="3"/>
  <c r="H555" i="3"/>
  <c r="H533" i="3"/>
  <c r="H511" i="3"/>
  <c r="H489" i="3"/>
  <c r="H467" i="3"/>
  <c r="H445" i="3"/>
  <c r="H422" i="3"/>
  <c r="H400" i="3"/>
  <c r="H378" i="3"/>
  <c r="H357" i="3"/>
  <c r="H336" i="3"/>
  <c r="H315" i="3"/>
  <c r="H294" i="3"/>
  <c r="H273" i="3"/>
  <c r="H252" i="3"/>
  <c r="H231" i="3"/>
  <c r="H210" i="3"/>
  <c r="H189" i="3"/>
  <c r="H168" i="3"/>
  <c r="H147" i="3"/>
  <c r="H126" i="3"/>
  <c r="H105" i="3"/>
  <c r="H83" i="3"/>
  <c r="H62" i="3"/>
  <c r="K690" i="3"/>
  <c r="K650" i="3"/>
  <c r="K614" i="3"/>
  <c r="K578" i="3"/>
  <c r="K540" i="3"/>
  <c r="K504" i="3"/>
  <c r="K466" i="3"/>
  <c r="K430" i="3"/>
  <c r="K397" i="3"/>
  <c r="K360" i="3"/>
  <c r="K322" i="3"/>
  <c r="K288" i="3"/>
  <c r="K253" i="3"/>
  <c r="K213" i="3"/>
  <c r="K175" i="3"/>
  <c r="K143" i="3"/>
  <c r="K105" i="3"/>
  <c r="K67" i="3"/>
  <c r="K36" i="3"/>
  <c r="J692" i="3"/>
  <c r="J654" i="3"/>
  <c r="J619" i="3"/>
  <c r="J582" i="3"/>
  <c r="J545" i="3"/>
  <c r="J509" i="3"/>
  <c r="J476" i="3"/>
  <c r="J438" i="3"/>
  <c r="J400" i="3"/>
  <c r="J366" i="3"/>
  <c r="J332" i="3"/>
  <c r="J293" i="3"/>
  <c r="J255" i="3"/>
  <c r="J219" i="3"/>
  <c r="J184" i="3"/>
  <c r="J148" i="3"/>
  <c r="J114" i="3"/>
  <c r="J81" i="3"/>
  <c r="J48" i="3"/>
  <c r="J18" i="3"/>
  <c r="I679" i="3"/>
  <c r="I649" i="3"/>
  <c r="I619" i="3"/>
  <c r="I589" i="3"/>
  <c r="I562" i="3"/>
  <c r="I534" i="3"/>
  <c r="I507" i="3"/>
  <c r="K684" i="3"/>
  <c r="K647" i="3"/>
  <c r="K612" i="3"/>
  <c r="K570" i="3"/>
  <c r="K535" i="3"/>
  <c r="K502" i="3"/>
  <c r="K463" i="3"/>
  <c r="K426" i="3"/>
  <c r="K394" i="3"/>
  <c r="K357" i="3"/>
  <c r="K319" i="3"/>
  <c r="K283" i="3"/>
  <c r="K247" i="3"/>
  <c r="K208" i="3"/>
  <c r="K173" i="3"/>
  <c r="K141" i="3"/>
  <c r="K102" i="3"/>
  <c r="K65" i="3"/>
  <c r="K31" i="3"/>
  <c r="J689" i="3"/>
  <c r="J652" i="3"/>
  <c r="J614" i="3"/>
  <c r="J576" i="3"/>
  <c r="J542" i="3"/>
  <c r="J506" i="3"/>
  <c r="J469" i="3"/>
  <c r="J435" i="3"/>
  <c r="J398" i="3"/>
  <c r="J362" i="3"/>
  <c r="J329" i="3"/>
  <c r="J289" i="3"/>
  <c r="J253" i="3"/>
  <c r="J214" i="3"/>
  <c r="J181" i="3"/>
  <c r="J146" i="3"/>
  <c r="J110" i="3"/>
  <c r="J78" i="3"/>
  <c r="J46" i="3"/>
  <c r="J15" i="3"/>
  <c r="I675" i="3"/>
  <c r="I647" i="3"/>
  <c r="I614" i="3"/>
  <c r="I586" i="3"/>
  <c r="I560" i="3"/>
  <c r="I530" i="3"/>
  <c r="I504" i="3"/>
  <c r="K680" i="3"/>
  <c r="K646" i="3"/>
  <c r="K611" i="3"/>
  <c r="K568" i="3"/>
  <c r="K533" i="3"/>
  <c r="K501" i="3"/>
  <c r="K462" i="3"/>
  <c r="K425" i="3"/>
  <c r="K393" i="3"/>
  <c r="K355" i="3"/>
  <c r="K318" i="3"/>
  <c r="K282" i="3"/>
  <c r="K245" i="3"/>
  <c r="K207" i="3"/>
  <c r="K172" i="3"/>
  <c r="K136" i="3"/>
  <c r="K100" i="3"/>
  <c r="K64" i="3"/>
  <c r="K30" i="3"/>
  <c r="J688" i="3"/>
  <c r="J651" i="3"/>
  <c r="J612" i="3"/>
  <c r="J574" i="3"/>
  <c r="J541" i="3"/>
  <c r="J505" i="3"/>
  <c r="J468" i="3"/>
  <c r="J434" i="3"/>
  <c r="J397" i="3"/>
  <c r="J361" i="3"/>
  <c r="J325" i="3"/>
  <c r="J288" i="3"/>
  <c r="J252" i="3"/>
  <c r="J213" i="3"/>
  <c r="K679" i="3"/>
  <c r="K645" i="3"/>
  <c r="K604" i="3"/>
  <c r="K567" i="3"/>
  <c r="K532" i="3"/>
  <c r="K498" i="3"/>
  <c r="K460" i="3"/>
  <c r="K424" i="3"/>
  <c r="K388" i="3"/>
  <c r="K354" i="3"/>
  <c r="K317" i="3"/>
  <c r="K278" i="3"/>
  <c r="K241" i="3"/>
  <c r="K206" i="3"/>
  <c r="K171" i="3"/>
  <c r="K135" i="3"/>
  <c r="K99" i="3"/>
  <c r="K63" i="3"/>
  <c r="K27" i="3"/>
  <c r="J687" i="3"/>
  <c r="J648" i="3"/>
  <c r="J611" i="3"/>
  <c r="J573" i="3"/>
  <c r="J540" i="3"/>
  <c r="J504" i="3"/>
  <c r="J466" i="3"/>
  <c r="J430" i="3"/>
  <c r="J396" i="3"/>
  <c r="J359" i="3"/>
  <c r="J318" i="3"/>
  <c r="J287" i="3"/>
  <c r="J250" i="3"/>
  <c r="J211" i="3"/>
  <c r="J176" i="3"/>
  <c r="J144" i="3"/>
  <c r="J107" i="3"/>
  <c r="J76" i="3"/>
  <c r="J44" i="3"/>
  <c r="J13" i="3"/>
  <c r="I673" i="3"/>
  <c r="I645" i="3"/>
  <c r="I612" i="3"/>
  <c r="I583" i="3"/>
  <c r="I555" i="3"/>
  <c r="I528" i="3"/>
  <c r="I502" i="3"/>
  <c r="I473" i="3"/>
  <c r="I445" i="3"/>
  <c r="I419" i="3"/>
  <c r="I392" i="3"/>
  <c r="I366" i="3"/>
  <c r="I340" i="3"/>
  <c r="I315" i="3"/>
  <c r="I289" i="3"/>
  <c r="I264" i="3"/>
  <c r="I239" i="3"/>
  <c r="I215" i="3"/>
  <c r="I191" i="3"/>
  <c r="I166" i="3"/>
  <c r="I142" i="3"/>
  <c r="I117" i="3"/>
  <c r="I92" i="3"/>
  <c r="I67" i="3"/>
  <c r="I43" i="3"/>
  <c r="I18" i="3"/>
  <c r="H687" i="3"/>
  <c r="H663" i="3"/>
  <c r="H640" i="3"/>
  <c r="H617" i="3"/>
  <c r="H594" i="3"/>
  <c r="H572" i="3"/>
  <c r="H550" i="3"/>
  <c r="H528" i="3"/>
  <c r="H506" i="3"/>
  <c r="H483" i="3"/>
  <c r="H461" i="3"/>
  <c r="H439" i="3"/>
  <c r="H417" i="3"/>
  <c r="H395" i="3"/>
  <c r="H373" i="3"/>
  <c r="H352" i="3"/>
  <c r="H331" i="3"/>
  <c r="H310" i="3"/>
  <c r="H289" i="3"/>
  <c r="H268" i="3"/>
  <c r="K678" i="3"/>
  <c r="K641" i="3"/>
  <c r="K603" i="3"/>
  <c r="K566" i="3"/>
  <c r="K531" i="3"/>
  <c r="K494" i="3"/>
  <c r="K459" i="3"/>
  <c r="K423" i="3"/>
  <c r="K387" i="3"/>
  <c r="K353" i="3"/>
  <c r="K316" i="3"/>
  <c r="K277" i="3"/>
  <c r="K240" i="3"/>
  <c r="K205" i="3"/>
  <c r="K170" i="3"/>
  <c r="K132" i="3"/>
  <c r="K98" i="3"/>
  <c r="K62" i="3"/>
  <c r="K25" i="3"/>
  <c r="J681" i="3"/>
  <c r="J647" i="3"/>
  <c r="J609" i="3"/>
  <c r="J571" i="3"/>
  <c r="J539" i="3"/>
  <c r="J502" i="3"/>
  <c r="J465" i="3"/>
  <c r="J427" i="3"/>
  <c r="J395" i="3"/>
  <c r="J358" i="3"/>
  <c r="J317" i="3"/>
  <c r="J282" i="3"/>
  <c r="J249" i="3"/>
  <c r="J210" i="3"/>
  <c r="J174" i="3"/>
  <c r="J142" i="3"/>
  <c r="J106" i="3"/>
  <c r="J73" i="3"/>
  <c r="J42" i="3"/>
  <c r="J10" i="3"/>
  <c r="I672" i="3"/>
  <c r="I641" i="3"/>
  <c r="K677" i="3"/>
  <c r="K637" i="3"/>
  <c r="K599" i="3"/>
  <c r="K565" i="3"/>
  <c r="K530" i="3"/>
  <c r="K491" i="3"/>
  <c r="K458" i="3"/>
  <c r="K422" i="3"/>
  <c r="K384" i="3"/>
  <c r="K351" i="3"/>
  <c r="K312" i="3"/>
  <c r="K275" i="3"/>
  <c r="K237" i="3"/>
  <c r="K204" i="3"/>
  <c r="K168" i="3"/>
  <c r="K131" i="3"/>
  <c r="K94" i="3"/>
  <c r="K61" i="3"/>
  <c r="K23" i="3"/>
  <c r="J677" i="3"/>
  <c r="J646" i="3"/>
  <c r="J608" i="3"/>
  <c r="J570" i="3"/>
  <c r="J535" i="3"/>
  <c r="J501" i="3"/>
  <c r="J464" i="3"/>
  <c r="J426" i="3"/>
  <c r="J394" i="3"/>
  <c r="J354" i="3"/>
  <c r="J316" i="3"/>
  <c r="J281" i="3"/>
  <c r="J246" i="3"/>
  <c r="J209" i="3"/>
  <c r="J173" i="3"/>
  <c r="J139" i="3"/>
  <c r="J104" i="3"/>
  <c r="J72" i="3"/>
  <c r="J40" i="3"/>
  <c r="J8" i="3"/>
  <c r="I671" i="3"/>
  <c r="I639" i="3"/>
  <c r="I608" i="3"/>
  <c r="I581" i="3"/>
  <c r="I552" i="3"/>
  <c r="I526" i="3"/>
  <c r="I499" i="3"/>
  <c r="I471" i="3"/>
  <c r="I443" i="3"/>
  <c r="I416" i="3"/>
  <c r="I389" i="3"/>
  <c r="I363" i="3"/>
  <c r="I338" i="3"/>
  <c r="I313" i="3"/>
  <c r="I286" i="3"/>
  <c r="I261" i="3"/>
  <c r="I237" i="3"/>
  <c r="I213" i="3"/>
  <c r="I188" i="3"/>
  <c r="I164" i="3"/>
  <c r="I138" i="3"/>
  <c r="I114" i="3"/>
  <c r="I89" i="3"/>
  <c r="I65" i="3"/>
  <c r="I40" i="3"/>
  <c r="I16" i="3"/>
  <c r="H685" i="3"/>
  <c r="H661" i="3"/>
  <c r="H638" i="3"/>
  <c r="H615" i="3"/>
  <c r="H592" i="3"/>
  <c r="H570" i="3"/>
  <c r="H548" i="3"/>
  <c r="H526" i="3"/>
  <c r="H503" i="3"/>
  <c r="H481" i="3"/>
  <c r="H459" i="3"/>
  <c r="H437" i="3"/>
  <c r="H415" i="3"/>
  <c r="H392" i="3"/>
  <c r="H371" i="3"/>
  <c r="H350" i="3"/>
  <c r="H329" i="3"/>
  <c r="H308" i="3"/>
  <c r="H287" i="3"/>
  <c r="H266" i="3"/>
  <c r="H245" i="3"/>
  <c r="H223" i="3"/>
  <c r="H202" i="3"/>
  <c r="H181" i="3"/>
  <c r="H160" i="3"/>
  <c r="H139" i="3"/>
  <c r="H118" i="3"/>
  <c r="H97" i="3"/>
  <c r="H76" i="3"/>
  <c r="H55" i="3"/>
  <c r="H34" i="3"/>
  <c r="H13" i="3"/>
  <c r="G686" i="3"/>
  <c r="G665" i="3"/>
  <c r="G645" i="3"/>
  <c r="G625" i="3"/>
  <c r="G605" i="3"/>
  <c r="G585" i="3"/>
  <c r="G565" i="3"/>
  <c r="G545" i="3"/>
  <c r="G525" i="3"/>
  <c r="G505" i="3"/>
  <c r="G485" i="3"/>
  <c r="G465" i="3"/>
  <c r="G445" i="3"/>
  <c r="G425" i="3"/>
  <c r="G405" i="3"/>
  <c r="G385" i="3"/>
  <c r="G365" i="3"/>
  <c r="G345" i="3"/>
  <c r="G325" i="3"/>
  <c r="G305" i="3"/>
  <c r="G285" i="3"/>
  <c r="G265" i="3"/>
  <c r="G245" i="3"/>
  <c r="G225" i="3"/>
  <c r="G205" i="3"/>
  <c r="G185" i="3"/>
  <c r="K672" i="3"/>
  <c r="K634" i="3"/>
  <c r="K595" i="3"/>
  <c r="K563" i="3"/>
  <c r="K527" i="3"/>
  <c r="K488" i="3"/>
  <c r="K456" i="3"/>
  <c r="K419" i="3"/>
  <c r="K381" i="3"/>
  <c r="K342" i="3"/>
  <c r="K310" i="3"/>
  <c r="K272" i="3"/>
  <c r="K234" i="3"/>
  <c r="K199" i="3"/>
  <c r="K165" i="3"/>
  <c r="K126" i="3"/>
  <c r="K91" i="3"/>
  <c r="K59" i="3"/>
  <c r="K17" i="3"/>
  <c r="J675" i="3"/>
  <c r="J640" i="3"/>
  <c r="J605" i="3"/>
  <c r="J568" i="3"/>
  <c r="J531" i="3"/>
  <c r="J498" i="3"/>
  <c r="J460" i="3"/>
  <c r="J424" i="3"/>
  <c r="J385" i="3"/>
  <c r="J350" i="3"/>
  <c r="J314" i="3"/>
  <c r="J278" i="3"/>
  <c r="J240" i="3"/>
  <c r="J207" i="3"/>
  <c r="J171" i="3"/>
  <c r="J134" i="3"/>
  <c r="J101" i="3"/>
  <c r="J69" i="3"/>
  <c r="J38" i="3"/>
  <c r="I696" i="3"/>
  <c r="I667" i="3"/>
  <c r="I634" i="3"/>
  <c r="I606" i="3"/>
  <c r="I578" i="3"/>
  <c r="I550" i="3"/>
  <c r="I523" i="3"/>
  <c r="I496" i="3"/>
  <c r="I467" i="3"/>
  <c r="I441" i="3"/>
  <c r="I414" i="3"/>
  <c r="I387" i="3"/>
  <c r="I361" i="3"/>
  <c r="I336" i="3"/>
  <c r="I309" i="3"/>
  <c r="I283" i="3"/>
  <c r="I259" i="3"/>
  <c r="I235" i="3"/>
  <c r="I211" i="3"/>
  <c r="I185" i="3"/>
  <c r="I160" i="3"/>
  <c r="I136" i="3"/>
  <c r="I112" i="3"/>
  <c r="I87" i="3"/>
  <c r="I62" i="3"/>
  <c r="I38" i="3"/>
  <c r="I13" i="3"/>
  <c r="H682" i="3"/>
  <c r="H659" i="3"/>
  <c r="H636" i="3"/>
  <c r="H613" i="3"/>
  <c r="H590" i="3"/>
  <c r="H568" i="3"/>
  <c r="H546" i="3"/>
  <c r="H523" i="3"/>
  <c r="K671" i="3"/>
  <c r="K632" i="3"/>
  <c r="K594" i="3"/>
  <c r="K562" i="3"/>
  <c r="K524" i="3"/>
  <c r="K486" i="3"/>
  <c r="K452" i="3"/>
  <c r="K418" i="3"/>
  <c r="K380" i="3"/>
  <c r="K341" i="3"/>
  <c r="K308" i="3"/>
  <c r="K271" i="3"/>
  <c r="K233" i="3"/>
  <c r="K198" i="3"/>
  <c r="K164" i="3"/>
  <c r="K125" i="3"/>
  <c r="K90" i="3"/>
  <c r="K58" i="3"/>
  <c r="K16" i="3"/>
  <c r="J674" i="3"/>
  <c r="J637" i="3"/>
  <c r="J604" i="3"/>
  <c r="J567" i="3"/>
  <c r="J530" i="3"/>
  <c r="J493" i="3"/>
  <c r="J459" i="3"/>
  <c r="J422" i="3"/>
  <c r="J382" i="3"/>
  <c r="J346" i="3"/>
  <c r="J313" i="3"/>
  <c r="J276" i="3"/>
  <c r="J237" i="3"/>
  <c r="J206" i="3"/>
  <c r="J170" i="3"/>
  <c r="J132" i="3"/>
  <c r="J100" i="3"/>
  <c r="J68" i="3"/>
  <c r="J35" i="3"/>
  <c r="I695" i="3"/>
  <c r="I666" i="3"/>
  <c r="I633" i="3"/>
  <c r="I605" i="3"/>
  <c r="I576" i="3"/>
  <c r="I548" i="3"/>
  <c r="I522" i="3"/>
  <c r="I494" i="3"/>
  <c r="I466" i="3"/>
  <c r="I440" i="3"/>
  <c r="I413" i="3"/>
  <c r="I386" i="3"/>
  <c r="I360" i="3"/>
  <c r="I335" i="3"/>
  <c r="I308" i="3"/>
  <c r="I282" i="3"/>
  <c r="I258" i="3"/>
  <c r="I234" i="3"/>
  <c r="I208" i="3"/>
  <c r="I184" i="3"/>
  <c r="I159" i="3"/>
  <c r="I135" i="3"/>
  <c r="I111" i="3"/>
  <c r="I86" i="3"/>
  <c r="I61" i="3"/>
  <c r="I37" i="3"/>
  <c r="I12" i="3"/>
  <c r="H681" i="3"/>
  <c r="H658" i="3"/>
  <c r="H635" i="3"/>
  <c r="H612" i="3"/>
  <c r="H589" i="3"/>
  <c r="H567" i="3"/>
  <c r="H545" i="3"/>
  <c r="H522" i="3"/>
  <c r="H500" i="3"/>
  <c r="H478" i="3"/>
  <c r="H455" i="3"/>
  <c r="H433" i="3"/>
  <c r="H411" i="3"/>
  <c r="H389" i="3"/>
  <c r="H368" i="3"/>
  <c r="H347" i="3"/>
  <c r="H326" i="3"/>
  <c r="H305" i="3"/>
  <c r="H283" i="3"/>
  <c r="H262" i="3"/>
  <c r="H241" i="3"/>
  <c r="H220" i="3"/>
  <c r="H199" i="3"/>
  <c r="H178" i="3"/>
  <c r="H157" i="3"/>
  <c r="H136" i="3"/>
  <c r="H115" i="3"/>
  <c r="H94" i="3"/>
  <c r="H73" i="3"/>
  <c r="H52" i="3"/>
  <c r="H31" i="3"/>
  <c r="H10" i="3"/>
  <c r="G683" i="3"/>
  <c r="G662" i="3"/>
  <c r="G642" i="3"/>
  <c r="G622" i="3"/>
  <c r="G602" i="3"/>
  <c r="G582" i="3"/>
  <c r="G562" i="3"/>
  <c r="G542" i="3"/>
  <c r="G522" i="3"/>
  <c r="G502" i="3"/>
  <c r="G482" i="3"/>
  <c r="G462" i="3"/>
  <c r="G442" i="3"/>
  <c r="G422" i="3"/>
  <c r="G402" i="3"/>
  <c r="G382" i="3"/>
  <c r="G362" i="3"/>
  <c r="G342" i="3"/>
  <c r="G322" i="3"/>
  <c r="G302" i="3"/>
  <c r="G282" i="3"/>
  <c r="G262" i="3"/>
  <c r="G242" i="3"/>
  <c r="G222" i="3"/>
  <c r="G202" i="3"/>
  <c r="G182" i="3"/>
  <c r="G162" i="3"/>
  <c r="G142" i="3"/>
  <c r="G122" i="3"/>
  <c r="G102" i="3"/>
  <c r="G82" i="3"/>
  <c r="G62" i="3"/>
  <c r="G42" i="3"/>
  <c r="G22" i="3"/>
  <c r="F4" i="3"/>
  <c r="F24" i="3"/>
  <c r="F44" i="3"/>
  <c r="F64" i="3"/>
  <c r="F84" i="3"/>
  <c r="F104" i="3"/>
  <c r="F124" i="3"/>
  <c r="F144" i="3"/>
  <c r="F164" i="3"/>
  <c r="F184" i="3"/>
  <c r="F204" i="3"/>
  <c r="F224" i="3"/>
  <c r="F244" i="3"/>
  <c r="F264" i="3"/>
  <c r="F284" i="3"/>
  <c r="F304" i="3"/>
  <c r="F324" i="3"/>
  <c r="F344" i="3"/>
  <c r="F364" i="3"/>
  <c r="F384" i="3"/>
  <c r="F404" i="3"/>
  <c r="F424" i="3"/>
  <c r="F444" i="3"/>
  <c r="F464" i="3"/>
  <c r="F484" i="3"/>
  <c r="F504" i="3"/>
  <c r="F524" i="3"/>
  <c r="F544" i="3"/>
  <c r="F564" i="3"/>
  <c r="F584" i="3"/>
  <c r="F604" i="3"/>
  <c r="F624" i="3"/>
  <c r="F644" i="3"/>
  <c r="F664" i="3"/>
  <c r="F684" i="3"/>
  <c r="K667" i="3"/>
  <c r="K626" i="3"/>
  <c r="K591" i="3"/>
  <c r="K556" i="3"/>
  <c r="K520" i="3"/>
  <c r="K483" i="3"/>
  <c r="K447" i="3"/>
  <c r="K406" i="3"/>
  <c r="K374" i="3"/>
  <c r="K337" i="3"/>
  <c r="K300" i="3"/>
  <c r="K266" i="3"/>
  <c r="K230" i="3"/>
  <c r="K194" i="3"/>
  <c r="K157" i="3"/>
  <c r="K122" i="3"/>
  <c r="K84" i="3"/>
  <c r="K45" i="3"/>
  <c r="K10" i="3"/>
  <c r="J671" i="3"/>
  <c r="J632" i="3"/>
  <c r="K652" i="3"/>
  <c r="K584" i="3"/>
  <c r="K506" i="3"/>
  <c r="K436" i="3"/>
  <c r="K362" i="3"/>
  <c r="K292" i="3"/>
  <c r="K219" i="3"/>
  <c r="K145" i="3"/>
  <c r="K70" i="3"/>
  <c r="J696" i="3"/>
  <c r="J625" i="3"/>
  <c r="J555" i="3"/>
  <c r="J484" i="3"/>
  <c r="J416" i="3"/>
  <c r="J345" i="3"/>
  <c r="J292" i="3"/>
  <c r="J229" i="3"/>
  <c r="J155" i="3"/>
  <c r="J99" i="3"/>
  <c r="J51" i="3"/>
  <c r="I689" i="3"/>
  <c r="I632" i="3"/>
  <c r="I592" i="3"/>
  <c r="I546" i="3"/>
  <c r="I509" i="3"/>
  <c r="I465" i="3"/>
  <c r="I433" i="3"/>
  <c r="I395" i="3"/>
  <c r="I359" i="3"/>
  <c r="I324" i="3"/>
  <c r="I293" i="3"/>
  <c r="I257" i="3"/>
  <c r="I226" i="3"/>
  <c r="I194" i="3"/>
  <c r="I158" i="3"/>
  <c r="I127" i="3"/>
  <c r="I96" i="3"/>
  <c r="I60" i="3"/>
  <c r="I29" i="3"/>
  <c r="H692" i="3"/>
  <c r="H657" i="3"/>
  <c r="H629" i="3"/>
  <c r="H597" i="3"/>
  <c r="H566" i="3"/>
  <c r="H537" i="3"/>
  <c r="H509" i="3"/>
  <c r="H480" i="3"/>
  <c r="H452" i="3"/>
  <c r="H426" i="3"/>
  <c r="H398" i="3"/>
  <c r="H370" i="3"/>
  <c r="H343" i="3"/>
  <c r="H318" i="3"/>
  <c r="H292" i="3"/>
  <c r="H265" i="3"/>
  <c r="H239" i="3"/>
  <c r="H215" i="3"/>
  <c r="H191" i="3"/>
  <c r="H166" i="3"/>
  <c r="H141" i="3"/>
  <c r="H116" i="3"/>
  <c r="H91" i="3"/>
  <c r="H67" i="3"/>
  <c r="H42" i="3"/>
  <c r="H19" i="3"/>
  <c r="G690" i="3"/>
  <c r="G667" i="3"/>
  <c r="G644" i="3"/>
  <c r="G621" i="3"/>
  <c r="G599" i="3"/>
  <c r="G577" i="3"/>
  <c r="G555" i="3"/>
  <c r="G533" i="3"/>
  <c r="G511" i="3"/>
  <c r="G489" i="3"/>
  <c r="G467" i="3"/>
  <c r="G444" i="3"/>
  <c r="G421" i="3"/>
  <c r="G399" i="3"/>
  <c r="G377" i="3"/>
  <c r="G355" i="3"/>
  <c r="G333" i="3"/>
  <c r="G311" i="3"/>
  <c r="G289" i="3"/>
  <c r="G267" i="3"/>
  <c r="K688" i="3"/>
  <c r="K596" i="3"/>
  <c r="K523" i="3"/>
  <c r="K448" i="3"/>
  <c r="K373" i="3"/>
  <c r="K297" i="3"/>
  <c r="K226" i="3"/>
  <c r="K147" i="3"/>
  <c r="K73" i="3"/>
  <c r="J691" i="3"/>
  <c r="J606" i="3"/>
  <c r="J544" i="3"/>
  <c r="J478" i="3"/>
  <c r="J405" i="3"/>
  <c r="J337" i="3"/>
  <c r="J267" i="3"/>
  <c r="J197" i="3"/>
  <c r="J129" i="3"/>
  <c r="J77" i="3"/>
  <c r="J21" i="3"/>
  <c r="I656" i="3"/>
  <c r="I604" i="3"/>
  <c r="I565" i="3"/>
  <c r="I515" i="3"/>
  <c r="I478" i="3"/>
  <c r="I436" i="3"/>
  <c r="I399" i="3"/>
  <c r="I362" i="3"/>
  <c r="I323" i="3"/>
  <c r="I291" i="3"/>
  <c r="I253" i="3"/>
  <c r="I220" i="3"/>
  <c r="I182" i="3"/>
  <c r="I151" i="3"/>
  <c r="I118" i="3"/>
  <c r="I81" i="3"/>
  <c r="I48" i="3"/>
  <c r="I11" i="3"/>
  <c r="H674" i="3"/>
  <c r="H641" i="3"/>
  <c r="H608" i="3"/>
  <c r="H576" i="3"/>
  <c r="H543" i="3"/>
  <c r="H514" i="3"/>
  <c r="H486" i="3"/>
  <c r="H454" i="3"/>
  <c r="H427" i="3"/>
  <c r="H397" i="3"/>
  <c r="H367" i="3"/>
  <c r="H340" i="3"/>
  <c r="H313" i="3"/>
  <c r="H285" i="3"/>
  <c r="H257" i="3"/>
  <c r="H232" i="3"/>
  <c r="H206" i="3"/>
  <c r="H179" i="3"/>
  <c r="H153" i="3"/>
  <c r="H128" i="3"/>
  <c r="H101" i="3"/>
  <c r="H75" i="3"/>
  <c r="H49" i="3"/>
  <c r="H25" i="3"/>
  <c r="G694" i="3"/>
  <c r="G670" i="3"/>
  <c r="G647" i="3"/>
  <c r="G623" i="3"/>
  <c r="G598" i="3"/>
  <c r="G575" i="3"/>
  <c r="G552" i="3"/>
  <c r="G529" i="3"/>
  <c r="G506" i="3"/>
  <c r="G481" i="3"/>
  <c r="G458" i="3"/>
  <c r="G435" i="3"/>
  <c r="G412" i="3"/>
  <c r="G389" i="3"/>
  <c r="G366" i="3"/>
  <c r="G341" i="3"/>
  <c r="G318" i="3"/>
  <c r="G295" i="3"/>
  <c r="G272" i="3"/>
  <c r="G249" i="3"/>
  <c r="G227" i="3"/>
  <c r="G204" i="3"/>
  <c r="G181" i="3"/>
  <c r="G160" i="3"/>
  <c r="G139" i="3"/>
  <c r="G118" i="3"/>
  <c r="G97" i="3"/>
  <c r="G76" i="3"/>
  <c r="G55" i="3"/>
  <c r="G34" i="3"/>
  <c r="G13" i="3"/>
  <c r="F14" i="3"/>
  <c r="F35" i="3"/>
  <c r="F56" i="3"/>
  <c r="F77" i="3"/>
  <c r="F98" i="3"/>
  <c r="F119" i="3"/>
  <c r="F140" i="3"/>
  <c r="F161" i="3"/>
  <c r="F182" i="3"/>
  <c r="F203" i="3"/>
  <c r="F225" i="3"/>
  <c r="F246" i="3"/>
  <c r="F267" i="3"/>
  <c r="F288" i="3"/>
  <c r="F309" i="3"/>
  <c r="F330" i="3"/>
  <c r="F351" i="3"/>
  <c r="F372" i="3"/>
  <c r="F393" i="3"/>
  <c r="F414" i="3"/>
  <c r="F435" i="3"/>
  <c r="F456" i="3"/>
  <c r="F477" i="3"/>
  <c r="F498" i="3"/>
  <c r="F519" i="3"/>
  <c r="F540" i="3"/>
  <c r="F561" i="3"/>
  <c r="F582" i="3"/>
  <c r="F603" i="3"/>
  <c r="F625" i="3"/>
  <c r="F646" i="3"/>
  <c r="F667" i="3"/>
  <c r="F688" i="3"/>
  <c r="K653" i="3"/>
  <c r="K574" i="3"/>
  <c r="K648" i="3"/>
  <c r="K630" i="3"/>
  <c r="K625" i="3"/>
  <c r="K552" i="3"/>
  <c r="K480" i="3"/>
  <c r="K401" i="3"/>
  <c r="K331" i="3"/>
  <c r="K255" i="3"/>
  <c r="K174" i="3"/>
  <c r="K93" i="3"/>
  <c r="K15" i="3"/>
  <c r="J634" i="3"/>
  <c r="J565" i="3"/>
  <c r="J492" i="3"/>
  <c r="J425" i="3"/>
  <c r="J364" i="3"/>
  <c r="J296" i="3"/>
  <c r="J226" i="3"/>
  <c r="J152" i="3"/>
  <c r="J93" i="3"/>
  <c r="J34" i="3"/>
  <c r="I678" i="3"/>
  <c r="I625" i="3"/>
  <c r="I572" i="3"/>
  <c r="I533" i="3"/>
  <c r="I487" i="3"/>
  <c r="I450" i="3"/>
  <c r="I410" i="3"/>
  <c r="I374" i="3"/>
  <c r="I339" i="3"/>
  <c r="I300" i="3"/>
  <c r="I268" i="3"/>
  <c r="I231" i="3"/>
  <c r="I199" i="3"/>
  <c r="I165" i="3"/>
  <c r="I128" i="3"/>
  <c r="I95" i="3"/>
  <c r="I58" i="3"/>
  <c r="I26" i="3"/>
  <c r="H683" i="3"/>
  <c r="H652" i="3"/>
  <c r="H619" i="3"/>
  <c r="H586" i="3"/>
  <c r="H556" i="3"/>
  <c r="H525" i="3"/>
  <c r="H494" i="3"/>
  <c r="H466" i="3"/>
  <c r="H436" i="3"/>
  <c r="H407" i="3"/>
  <c r="H379" i="3"/>
  <c r="H351" i="3"/>
  <c r="H322" i="3"/>
  <c r="H296" i="3"/>
  <c r="H269" i="3"/>
  <c r="H240" i="3"/>
  <c r="H214" i="3"/>
  <c r="H188" i="3"/>
  <c r="H162" i="3"/>
  <c r="H135" i="3"/>
  <c r="H110" i="3"/>
  <c r="H85" i="3"/>
  <c r="H58" i="3"/>
  <c r="H33" i="3"/>
  <c r="H8" i="3"/>
  <c r="G677" i="3"/>
  <c r="G654" i="3"/>
  <c r="G631" i="3"/>
  <c r="G608" i="3"/>
  <c r="G584" i="3"/>
  <c r="G560" i="3"/>
  <c r="G537" i="3"/>
  <c r="G514" i="3"/>
  <c r="G491" i="3"/>
  <c r="G468" i="3"/>
  <c r="G443" i="3"/>
  <c r="G419" i="3"/>
  <c r="G396" i="3"/>
  <c r="G373" i="3"/>
  <c r="G350" i="3"/>
  <c r="G327" i="3"/>
  <c r="G303" i="3"/>
  <c r="G279" i="3"/>
  <c r="G256" i="3"/>
  <c r="G234" i="3"/>
  <c r="G212" i="3"/>
  <c r="G190" i="3"/>
  <c r="G168" i="3"/>
  <c r="K619" i="3"/>
  <c r="K546" i="3"/>
  <c r="K470" i="3"/>
  <c r="K396" i="3"/>
  <c r="K311" i="3"/>
  <c r="K232" i="3"/>
  <c r="K161" i="3"/>
  <c r="K82" i="3"/>
  <c r="K6" i="3"/>
  <c r="J628" i="3"/>
  <c r="J560" i="3"/>
  <c r="J487" i="3"/>
  <c r="J415" i="3"/>
  <c r="J341" i="3"/>
  <c r="J273" i="3"/>
  <c r="J205" i="3"/>
  <c r="J147" i="3"/>
  <c r="J88" i="3"/>
  <c r="J27" i="3"/>
  <c r="I665" i="3"/>
  <c r="I618" i="3"/>
  <c r="I569" i="3"/>
  <c r="I524" i="3"/>
  <c r="I484" i="3"/>
  <c r="I444" i="3"/>
  <c r="I407" i="3"/>
  <c r="K617" i="3"/>
  <c r="K545" i="3"/>
  <c r="K464" i="3"/>
  <c r="K383" i="3"/>
  <c r="K304" i="3"/>
  <c r="K231" i="3"/>
  <c r="K153" i="3"/>
  <c r="K81" i="3"/>
  <c r="K5" i="3"/>
  <c r="J627" i="3"/>
  <c r="J556" i="3"/>
  <c r="J481" i="3"/>
  <c r="J413" i="3"/>
  <c r="J340" i="3"/>
  <c r="J271" i="3"/>
  <c r="J204" i="3"/>
  <c r="J145" i="3"/>
  <c r="J86" i="3"/>
  <c r="J25" i="3"/>
  <c r="I662" i="3"/>
  <c r="I613" i="3"/>
  <c r="I568" i="3"/>
  <c r="I521" i="3"/>
  <c r="I483" i="3"/>
  <c r="I442" i="3"/>
  <c r="I405" i="3"/>
  <c r="I368" i="3"/>
  <c r="I329" i="3"/>
  <c r="K670" i="3"/>
  <c r="K561" i="3"/>
  <c r="K473" i="3"/>
  <c r="K367" i="3"/>
  <c r="K270" i="3"/>
  <c r="K187" i="3"/>
  <c r="K87" i="3"/>
  <c r="J673" i="3"/>
  <c r="J592" i="3"/>
  <c r="J511" i="3"/>
  <c r="J418" i="3"/>
  <c r="J335" i="3"/>
  <c r="J236" i="3"/>
  <c r="J165" i="3"/>
  <c r="J89" i="3"/>
  <c r="J16" i="3"/>
  <c r="I646" i="3"/>
  <c r="I582" i="3"/>
  <c r="I527" i="3"/>
  <c r="I472" i="3"/>
  <c r="I424" i="3"/>
  <c r="I380" i="3"/>
  <c r="I337" i="3"/>
  <c r="I296" i="3"/>
  <c r="I254" i="3"/>
  <c r="I217" i="3"/>
  <c r="I178" i="3"/>
  <c r="I143" i="3"/>
  <c r="I103" i="3"/>
  <c r="I66" i="3"/>
  <c r="I27" i="3"/>
  <c r="H679" i="3"/>
  <c r="H645" i="3"/>
  <c r="H609" i="3"/>
  <c r="H574" i="3"/>
  <c r="H538" i="3"/>
  <c r="H505" i="3"/>
  <c r="H472" i="3"/>
  <c r="H441" i="3"/>
  <c r="H408" i="3"/>
  <c r="H376" i="3"/>
  <c r="H345" i="3"/>
  <c r="H314" i="3"/>
  <c r="H281" i="3"/>
  <c r="H253" i="3"/>
  <c r="H225" i="3"/>
  <c r="H195" i="3"/>
  <c r="H167" i="3"/>
  <c r="H137" i="3"/>
  <c r="H108" i="3"/>
  <c r="H79" i="3"/>
  <c r="H50" i="3"/>
  <c r="H22" i="3"/>
  <c r="G689" i="3"/>
  <c r="G661" i="3"/>
  <c r="G636" i="3"/>
  <c r="G611" i="3"/>
  <c r="G586" i="3"/>
  <c r="G558" i="3"/>
  <c r="G532" i="3"/>
  <c r="G507" i="3"/>
  <c r="G479" i="3"/>
  <c r="G454" i="3"/>
  <c r="G429" i="3"/>
  <c r="G403" i="3"/>
  <c r="G376" i="3"/>
  <c r="G351" i="3"/>
  <c r="G324" i="3"/>
  <c r="G298" i="3"/>
  <c r="G273" i="3"/>
  <c r="G247" i="3"/>
  <c r="G221" i="3"/>
  <c r="G197" i="3"/>
  <c r="G173" i="3"/>
  <c r="G150" i="3"/>
  <c r="G128" i="3"/>
  <c r="G106" i="3"/>
  <c r="G84" i="3"/>
  <c r="G61" i="3"/>
  <c r="G39" i="3"/>
  <c r="G17" i="3"/>
  <c r="F11" i="3"/>
  <c r="F33" i="3"/>
  <c r="F55" i="3"/>
  <c r="F78" i="3"/>
  <c r="K668" i="3"/>
  <c r="K557" i="3"/>
  <c r="K457" i="3"/>
  <c r="K364" i="3"/>
  <c r="K267" i="3"/>
  <c r="K186" i="3"/>
  <c r="K78" i="3"/>
  <c r="J672" i="3"/>
  <c r="J591" i="3"/>
  <c r="J507" i="3"/>
  <c r="J409" i="3"/>
  <c r="J330" i="3"/>
  <c r="J235" i="3"/>
  <c r="J162" i="3"/>
  <c r="J85" i="3"/>
  <c r="J14" i="3"/>
  <c r="I636" i="3"/>
  <c r="I579" i="3"/>
  <c r="I520" i="3"/>
  <c r="I468" i="3"/>
  <c r="I422" i="3"/>
  <c r="I379" i="3"/>
  <c r="I334" i="3"/>
  <c r="I294" i="3"/>
  <c r="I252" i="3"/>
  <c r="I216" i="3"/>
  <c r="I177" i="3"/>
  <c r="I140" i="3"/>
  <c r="I102" i="3"/>
  <c r="I64" i="3"/>
  <c r="I24" i="3"/>
  <c r="H678" i="3"/>
  <c r="H643" i="3"/>
  <c r="H607" i="3"/>
  <c r="H573" i="3"/>
  <c r="H536" i="3"/>
  <c r="H502" i="3"/>
  <c r="H471" i="3"/>
  <c r="H440" i="3"/>
  <c r="H406" i="3"/>
  <c r="H375" i="3"/>
  <c r="H342" i="3"/>
  <c r="H312" i="3"/>
  <c r="H280" i="3"/>
  <c r="H251" i="3"/>
  <c r="H222" i="3"/>
  <c r="H194" i="3"/>
  <c r="H165" i="3"/>
  <c r="H134" i="3"/>
  <c r="H107" i="3"/>
  <c r="H78" i="3"/>
  <c r="H48" i="3"/>
  <c r="H21" i="3"/>
  <c r="G688" i="3"/>
  <c r="G660" i="3"/>
  <c r="G635" i="3"/>
  <c r="G610" i="3"/>
  <c r="G583" i="3"/>
  <c r="G557" i="3"/>
  <c r="G531" i="3"/>
  <c r="G504" i="3"/>
  <c r="K658" i="3"/>
  <c r="K675" i="3"/>
  <c r="K547" i="3"/>
  <c r="K438" i="3"/>
  <c r="K335" i="3"/>
  <c r="K227" i="3"/>
  <c r="K121" i="3"/>
  <c r="K21" i="3"/>
  <c r="J597" i="3"/>
  <c r="J514" i="3"/>
  <c r="J408" i="3"/>
  <c r="J311" i="3"/>
  <c r="J230" i="3"/>
  <c r="J125" i="3"/>
  <c r="J56" i="3"/>
  <c r="I668" i="3"/>
  <c r="I596" i="3"/>
  <c r="I540" i="3"/>
  <c r="I479" i="3"/>
  <c r="I421" i="3"/>
  <c r="I371" i="3"/>
  <c r="I321" i="3"/>
  <c r="I277" i="3"/>
  <c r="I238" i="3"/>
  <c r="I195" i="3"/>
  <c r="I153" i="3"/>
  <c r="I108" i="3"/>
  <c r="I71" i="3"/>
  <c r="I22" i="3"/>
  <c r="H675" i="3"/>
  <c r="H633" i="3"/>
  <c r="H595" i="3"/>
  <c r="H557" i="3"/>
  <c r="H517" i="3"/>
  <c r="H482" i="3"/>
  <c r="H447" i="3"/>
  <c r="H410" i="3"/>
  <c r="H374" i="3"/>
  <c r="H338" i="3"/>
  <c r="H303" i="3"/>
  <c r="H272" i="3"/>
  <c r="H237" i="3"/>
  <c r="H207" i="3"/>
  <c r="H174" i="3"/>
  <c r="H143" i="3"/>
  <c r="H111" i="3"/>
  <c r="H77" i="3"/>
  <c r="H45" i="3"/>
  <c r="H15" i="3"/>
  <c r="G679" i="3"/>
  <c r="G650" i="3"/>
  <c r="G619" i="3"/>
  <c r="G592" i="3"/>
  <c r="G564" i="3"/>
  <c r="G535" i="3"/>
  <c r="G503" i="3"/>
  <c r="G476" i="3"/>
  <c r="G450" i="3"/>
  <c r="G423" i="3"/>
  <c r="G394" i="3"/>
  <c r="G368" i="3"/>
  <c r="G339" i="3"/>
  <c r="G313" i="3"/>
  <c r="G286" i="3"/>
  <c r="G258" i="3"/>
  <c r="G232" i="3"/>
  <c r="G207" i="3"/>
  <c r="G179" i="3"/>
  <c r="G155" i="3"/>
  <c r="G132" i="3"/>
  <c r="G109" i="3"/>
  <c r="G86" i="3"/>
  <c r="G63" i="3"/>
  <c r="G38" i="3"/>
  <c r="G15" i="3"/>
  <c r="F15" i="3"/>
  <c r="F38" i="3"/>
  <c r="F61" i="3"/>
  <c r="F85" i="3"/>
  <c r="F107" i="3"/>
  <c r="F129" i="3"/>
  <c r="F151" i="3"/>
  <c r="F173" i="3"/>
  <c r="F195" i="3"/>
  <c r="F217" i="3"/>
  <c r="F239" i="3"/>
  <c r="F261" i="3"/>
  <c r="F283" i="3"/>
  <c r="F306" i="3"/>
  <c r="F328" i="3"/>
  <c r="F350" i="3"/>
  <c r="F373" i="3"/>
  <c r="F395" i="3"/>
  <c r="F417" i="3"/>
  <c r="F439" i="3"/>
  <c r="F461" i="3"/>
  <c r="F483" i="3"/>
  <c r="F506" i="3"/>
  <c r="F528" i="3"/>
  <c r="F550" i="3"/>
  <c r="F572" i="3"/>
  <c r="F594" i="3"/>
  <c r="F616" i="3"/>
  <c r="F638" i="3"/>
  <c r="F660" i="3"/>
  <c r="F682" i="3"/>
  <c r="K661" i="3"/>
  <c r="K536" i="3"/>
  <c r="K437" i="3"/>
  <c r="K334" i="3"/>
  <c r="K225" i="3"/>
  <c r="K115" i="3"/>
  <c r="K14" i="3"/>
  <c r="J595" i="3"/>
  <c r="J513" i="3"/>
  <c r="J404" i="3"/>
  <c r="J310" i="3"/>
  <c r="J215" i="3"/>
  <c r="J124" i="3"/>
  <c r="J55" i="3"/>
  <c r="I660" i="3"/>
  <c r="I594" i="3"/>
  <c r="I539" i="3"/>
  <c r="I475" i="3"/>
  <c r="I420" i="3"/>
  <c r="I369" i="3"/>
  <c r="I319" i="3"/>
  <c r="I276" i="3"/>
  <c r="I236" i="3"/>
  <c r="I193" i="3"/>
  <c r="I149" i="3"/>
  <c r="I106" i="3"/>
  <c r="I68" i="3"/>
  <c r="I21" i="3"/>
  <c r="H673" i="3"/>
  <c r="H632" i="3"/>
  <c r="H593" i="3"/>
  <c r="H554" i="3"/>
  <c r="H516" i="3"/>
  <c r="H479" i="3"/>
  <c r="H446" i="3"/>
  <c r="H409" i="3"/>
  <c r="H372" i="3"/>
  <c r="H337" i="3"/>
  <c r="H302" i="3"/>
  <c r="H271" i="3"/>
  <c r="H236" i="3"/>
  <c r="H205" i="3"/>
  <c r="H173" i="3"/>
  <c r="H142" i="3"/>
  <c r="H109" i="3"/>
  <c r="H74" i="3"/>
  <c r="H43" i="3"/>
  <c r="H14" i="3"/>
  <c r="G676" i="3"/>
  <c r="G649" i="3"/>
  <c r="G618" i="3"/>
  <c r="G591" i="3"/>
  <c r="G563" i="3"/>
  <c r="G534" i="3"/>
  <c r="G501" i="3"/>
  <c r="G475" i="3"/>
  <c r="G449" i="3"/>
  <c r="G420" i="3"/>
  <c r="G393" i="3"/>
  <c r="G367" i="3"/>
  <c r="G338" i="3"/>
  <c r="G312" i="3"/>
  <c r="G284" i="3"/>
  <c r="G257" i="3"/>
  <c r="G231" i="3"/>
  <c r="G206" i="3"/>
  <c r="G178" i="3"/>
  <c r="G154" i="3"/>
  <c r="G131" i="3"/>
  <c r="G108" i="3"/>
  <c r="G85" i="3"/>
  <c r="G60" i="3"/>
  <c r="G37" i="3"/>
  <c r="G14" i="3"/>
  <c r="F16" i="3"/>
  <c r="F39" i="3"/>
  <c r="F62" i="3"/>
  <c r="F86" i="3"/>
  <c r="F108" i="3"/>
  <c r="F130" i="3"/>
  <c r="F152" i="3"/>
  <c r="F174" i="3"/>
  <c r="F196" i="3"/>
  <c r="F218" i="3"/>
  <c r="F240" i="3"/>
  <c r="F262" i="3"/>
  <c r="F285" i="3"/>
  <c r="F307" i="3"/>
  <c r="F329" i="3"/>
  <c r="F352" i="3"/>
  <c r="F374" i="3"/>
  <c r="F396" i="3"/>
  <c r="F418" i="3"/>
  <c r="F440" i="3"/>
  <c r="F462" i="3"/>
  <c r="F485" i="3"/>
  <c r="F507" i="3"/>
  <c r="F529" i="3"/>
  <c r="F551" i="3"/>
  <c r="F573" i="3"/>
  <c r="F595" i="3"/>
  <c r="F617" i="3"/>
  <c r="F639" i="3"/>
  <c r="F661" i="3"/>
  <c r="F683" i="3"/>
  <c r="K657" i="3"/>
  <c r="K528" i="3"/>
  <c r="K427" i="3"/>
  <c r="K332" i="3"/>
  <c r="K224" i="3"/>
  <c r="K114" i="3"/>
  <c r="K8" i="3"/>
  <c r="J594" i="3"/>
  <c r="J499" i="3"/>
  <c r="J399" i="3"/>
  <c r="J309" i="3"/>
  <c r="J208" i="3"/>
  <c r="J122" i="3"/>
  <c r="J47" i="3"/>
  <c r="I658" i="3"/>
  <c r="I593" i="3"/>
  <c r="I536" i="3"/>
  <c r="I464" i="3"/>
  <c r="I418" i="3"/>
  <c r="I367" i="3"/>
  <c r="I318" i="3"/>
  <c r="I275" i="3"/>
  <c r="I232" i="3"/>
  <c r="I192" i="3"/>
  <c r="I148" i="3"/>
  <c r="I105" i="3"/>
  <c r="I59" i="3"/>
  <c r="I20" i="3"/>
  <c r="H672" i="3"/>
  <c r="H631" i="3"/>
  <c r="H591" i="3"/>
  <c r="H553" i="3"/>
  <c r="H515" i="3"/>
  <c r="H476" i="3"/>
  <c r="H443" i="3"/>
  <c r="H405" i="3"/>
  <c r="H369" i="3"/>
  <c r="H335" i="3"/>
  <c r="H301" i="3"/>
  <c r="H270" i="3"/>
  <c r="H235" i="3"/>
  <c r="H203" i="3"/>
  <c r="H172" i="3"/>
  <c r="H140" i="3"/>
  <c r="H106" i="3"/>
  <c r="H72" i="3"/>
  <c r="H41" i="3"/>
  <c r="H12" i="3"/>
  <c r="G675" i="3"/>
  <c r="G648" i="3"/>
  <c r="G617" i="3"/>
  <c r="G590" i="3"/>
  <c r="G561" i="3"/>
  <c r="G530" i="3"/>
  <c r="G500" i="3"/>
  <c r="G474" i="3"/>
  <c r="G448" i="3"/>
  <c r="G418" i="3"/>
  <c r="G392" i="3"/>
  <c r="G364" i="3"/>
  <c r="G337" i="3"/>
  <c r="G310" i="3"/>
  <c r="G283" i="3"/>
  <c r="G255" i="3"/>
  <c r="G230" i="3"/>
  <c r="G203" i="3"/>
  <c r="G177" i="3"/>
  <c r="G153" i="3"/>
  <c r="G130" i="3"/>
  <c r="G107" i="3"/>
  <c r="G83" i="3"/>
  <c r="G59" i="3"/>
  <c r="G36" i="3"/>
  <c r="G12" i="3"/>
  <c r="F17" i="3"/>
  <c r="F40" i="3"/>
  <c r="F63" i="3"/>
  <c r="F87" i="3"/>
  <c r="F109" i="3"/>
  <c r="F131" i="3"/>
  <c r="F153" i="3"/>
  <c r="F175" i="3"/>
  <c r="F197" i="3"/>
  <c r="F219" i="3"/>
  <c r="F241" i="3"/>
  <c r="K655" i="3"/>
  <c r="K521" i="3"/>
  <c r="K421" i="3"/>
  <c r="K325" i="3"/>
  <c r="K211" i="3"/>
  <c r="K112" i="3"/>
  <c r="K4" i="3"/>
  <c r="J593" i="3"/>
  <c r="J490" i="3"/>
  <c r="J393" i="3"/>
  <c r="J304" i="3"/>
  <c r="J202" i="3"/>
  <c r="J121" i="3"/>
  <c r="J45" i="3"/>
  <c r="I655" i="3"/>
  <c r="I591" i="3"/>
  <c r="I529" i="3"/>
  <c r="I463" i="3"/>
  <c r="I415" i="3"/>
  <c r="I364" i="3"/>
  <c r="I317" i="3"/>
  <c r="I274" i="3"/>
  <c r="I229" i="3"/>
  <c r="I189" i="3"/>
  <c r="I146" i="3"/>
  <c r="I104" i="3"/>
  <c r="I56" i="3"/>
  <c r="I17" i="3"/>
  <c r="H668" i="3"/>
  <c r="H630" i="3"/>
  <c r="H588" i="3"/>
  <c r="H552" i="3"/>
  <c r="H513" i="3"/>
  <c r="H475" i="3"/>
  <c r="H442" i="3"/>
  <c r="H403" i="3"/>
  <c r="H366" i="3"/>
  <c r="H334" i="3"/>
  <c r="H300" i="3"/>
  <c r="H267" i="3"/>
  <c r="H234" i="3"/>
  <c r="H201" i="3"/>
  <c r="H171" i="3"/>
  <c r="H138" i="3"/>
  <c r="H103" i="3"/>
  <c r="H71" i="3"/>
  <c r="H40" i="3"/>
  <c r="H11" i="3"/>
  <c r="G674" i="3"/>
  <c r="G646" i="3"/>
  <c r="G616" i="3"/>
  <c r="G589" i="3"/>
  <c r="G559" i="3"/>
  <c r="G528" i="3"/>
  <c r="G499" i="3"/>
  <c r="G473" i="3"/>
  <c r="G447" i="3"/>
  <c r="G417" i="3"/>
  <c r="G391" i="3"/>
  <c r="G363" i="3"/>
  <c r="G336" i="3"/>
  <c r="G309" i="3"/>
  <c r="G281" i="3"/>
  <c r="G254" i="3"/>
  <c r="G229" i="3"/>
  <c r="G201" i="3"/>
  <c r="G176" i="3"/>
  <c r="G152" i="3"/>
  <c r="G129" i="3"/>
  <c r="G105" i="3"/>
  <c r="G81" i="3"/>
  <c r="G58" i="3"/>
  <c r="G35" i="3"/>
  <c r="G11" i="3"/>
  <c r="F18" i="3"/>
  <c r="F41" i="3"/>
  <c r="F65" i="3"/>
  <c r="F88" i="3"/>
  <c r="F110" i="3"/>
  <c r="F132" i="3"/>
  <c r="F154" i="3"/>
  <c r="F176" i="3"/>
  <c r="F198" i="3"/>
  <c r="F220" i="3"/>
  <c r="K628" i="3"/>
  <c r="K514" i="3"/>
  <c r="K415" i="3"/>
  <c r="K301" i="3"/>
  <c r="K196" i="3"/>
  <c r="K108" i="3"/>
  <c r="J676" i="3"/>
  <c r="J589" i="3"/>
  <c r="J480" i="3"/>
  <c r="J380" i="3"/>
  <c r="J299" i="3"/>
  <c r="J195" i="3"/>
  <c r="J119" i="3"/>
  <c r="J30" i="3"/>
  <c r="I653" i="3"/>
  <c r="I585" i="3"/>
  <c r="I514" i="3"/>
  <c r="I461" i="3"/>
  <c r="I409" i="3"/>
  <c r="I357" i="3"/>
  <c r="I314" i="3"/>
  <c r="I272" i="3"/>
  <c r="I227" i="3"/>
  <c r="I181" i="3"/>
  <c r="I144" i="3"/>
  <c r="I100" i="3"/>
  <c r="I54" i="3"/>
  <c r="I9" i="3"/>
  <c r="H666" i="3"/>
  <c r="H625" i="3"/>
  <c r="H585" i="3"/>
  <c r="H549" i="3"/>
  <c r="H510" i="3"/>
  <c r="H473" i="3"/>
  <c r="H434" i="3"/>
  <c r="H401" i="3"/>
  <c r="H363" i="3"/>
  <c r="H332" i="3"/>
  <c r="H298" i="3"/>
  <c r="H261" i="3"/>
  <c r="H230" i="3"/>
  <c r="H198" i="3"/>
  <c r="H169" i="3"/>
  <c r="H132" i="3"/>
  <c r="H100" i="3"/>
  <c r="H69" i="3"/>
  <c r="H38" i="3"/>
  <c r="H7" i="3"/>
  <c r="G672" i="3"/>
  <c r="G641" i="3"/>
  <c r="G614" i="3"/>
  <c r="G587" i="3"/>
  <c r="G554" i="3"/>
  <c r="G526" i="3"/>
  <c r="G497" i="3"/>
  <c r="G471" i="3"/>
  <c r="G441" i="3"/>
  <c r="G415" i="3"/>
  <c r="G388" i="3"/>
  <c r="G360" i="3"/>
  <c r="G334" i="3"/>
  <c r="G307" i="3"/>
  <c r="G278" i="3"/>
  <c r="G252" i="3"/>
  <c r="G226" i="3"/>
  <c r="G199" i="3"/>
  <c r="G174" i="3"/>
  <c r="G149" i="3"/>
  <c r="G126" i="3"/>
  <c r="G103" i="3"/>
  <c r="G79" i="3"/>
  <c r="G56" i="3"/>
  <c r="G32" i="3"/>
  <c r="G9" i="3"/>
  <c r="F20" i="3"/>
  <c r="F43" i="3"/>
  <c r="F67" i="3"/>
  <c r="F90" i="3"/>
  <c r="F112" i="3"/>
  <c r="F134" i="3"/>
  <c r="F156" i="3"/>
  <c r="F178" i="3"/>
  <c r="F200" i="3"/>
  <c r="F222" i="3"/>
  <c r="F245" i="3"/>
  <c r="F268" i="3"/>
  <c r="F290" i="3"/>
  <c r="F312" i="3"/>
  <c r="F334" i="3"/>
  <c r="F356" i="3"/>
  <c r="F378" i="3"/>
  <c r="F400" i="3"/>
  <c r="F422" i="3"/>
  <c r="F445" i="3"/>
  <c r="F467" i="3"/>
  <c r="F489" i="3"/>
  <c r="F511" i="3"/>
  <c r="F533" i="3"/>
  <c r="F555" i="3"/>
  <c r="F577" i="3"/>
  <c r="F599" i="3"/>
  <c r="F621" i="3"/>
  <c r="F643" i="3"/>
  <c r="F666" i="3"/>
  <c r="F689" i="3"/>
  <c r="K616" i="3"/>
  <c r="K510" i="3"/>
  <c r="K402" i="3"/>
  <c r="K294" i="3"/>
  <c r="K191" i="3"/>
  <c r="K77" i="3"/>
  <c r="J666" i="3"/>
  <c r="J566" i="3"/>
  <c r="J461" i="3"/>
  <c r="J375" i="3"/>
  <c r="J275" i="3"/>
  <c r="J187" i="3"/>
  <c r="J102" i="3"/>
  <c r="J22" i="3"/>
  <c r="I631" i="3"/>
  <c r="I570" i="3"/>
  <c r="I510" i="3"/>
  <c r="I458" i="3"/>
  <c r="I401" i="3"/>
  <c r="I351" i="3"/>
  <c r="I304" i="3"/>
  <c r="I265" i="3"/>
  <c r="I222" i="3"/>
  <c r="I176" i="3"/>
  <c r="I133" i="3"/>
  <c r="I91" i="3"/>
  <c r="I51" i="3"/>
  <c r="I6" i="3"/>
  <c r="H660" i="3"/>
  <c r="H620" i="3"/>
  <c r="H580" i="3"/>
  <c r="H541" i="3"/>
  <c r="H501" i="3"/>
  <c r="H468" i="3"/>
  <c r="H430" i="3"/>
  <c r="H394" i="3"/>
  <c r="H360" i="3"/>
  <c r="H327" i="3"/>
  <c r="H293" i="3"/>
  <c r="H258" i="3"/>
  <c r="H227" i="3"/>
  <c r="H193" i="3"/>
  <c r="H159" i="3"/>
  <c r="H129" i="3"/>
  <c r="H96" i="3"/>
  <c r="H65" i="3"/>
  <c r="H35" i="3"/>
  <c r="H3" i="3"/>
  <c r="G668" i="3"/>
  <c r="G638" i="3"/>
  <c r="G609" i="3"/>
  <c r="G579" i="3"/>
  <c r="G550" i="3"/>
  <c r="G521" i="3"/>
  <c r="G494" i="3"/>
  <c r="G466" i="3"/>
  <c r="G438" i="3"/>
  <c r="G411" i="3"/>
  <c r="G384" i="3"/>
  <c r="G357" i="3"/>
  <c r="G330" i="3"/>
  <c r="G301" i="3"/>
  <c r="G275" i="3"/>
  <c r="G248" i="3"/>
  <c r="G220" i="3"/>
  <c r="G195" i="3"/>
  <c r="G170" i="3"/>
  <c r="G146" i="3"/>
  <c r="G123" i="3"/>
  <c r="G99" i="3"/>
  <c r="G75" i="3"/>
  <c r="G52" i="3"/>
  <c r="G29" i="3"/>
  <c r="G6" i="3"/>
  <c r="F23" i="3"/>
  <c r="F47" i="3"/>
  <c r="F70" i="3"/>
  <c r="F93" i="3"/>
  <c r="F115" i="3"/>
  <c r="F137" i="3"/>
  <c r="F159" i="3"/>
  <c r="F181" i="3"/>
  <c r="F205" i="3"/>
  <c r="F227" i="3"/>
  <c r="F249" i="3"/>
  <c r="F271" i="3"/>
  <c r="F293" i="3"/>
  <c r="F315" i="3"/>
  <c r="F337" i="3"/>
  <c r="F359" i="3"/>
  <c r="F381" i="3"/>
  <c r="F403" i="3"/>
  <c r="F426" i="3"/>
  <c r="F448" i="3"/>
  <c r="F470" i="3"/>
  <c r="F492" i="3"/>
  <c r="F514" i="3"/>
  <c r="F536" i="3"/>
  <c r="F558" i="3"/>
  <c r="F580" i="3"/>
  <c r="F602" i="3"/>
  <c r="F626" i="3"/>
  <c r="F648" i="3"/>
  <c r="F670" i="3"/>
  <c r="F692" i="3"/>
  <c r="K613" i="3"/>
  <c r="K503" i="3"/>
  <c r="K400" i="3"/>
  <c r="K293" i="3"/>
  <c r="K188" i="3"/>
  <c r="K66" i="3"/>
  <c r="J661" i="3"/>
  <c r="J564" i="3"/>
  <c r="J458" i="3"/>
  <c r="J374" i="3"/>
  <c r="J270" i="3"/>
  <c r="J182" i="3"/>
  <c r="J97" i="3"/>
  <c r="J20" i="3"/>
  <c r="I630" i="3"/>
  <c r="I567" i="3"/>
  <c r="I505" i="3"/>
  <c r="I456" i="3"/>
  <c r="I396" i="3"/>
  <c r="I349" i="3"/>
  <c r="I303" i="3"/>
  <c r="I263" i="3"/>
  <c r="I219" i="3"/>
  <c r="I175" i="3"/>
  <c r="I132" i="3"/>
  <c r="I88" i="3"/>
  <c r="I47" i="3"/>
  <c r="I5" i="3"/>
  <c r="H656" i="3"/>
  <c r="H618" i="3"/>
  <c r="H579" i="3"/>
  <c r="H539" i="3"/>
  <c r="H499" i="3"/>
  <c r="H465" i="3"/>
  <c r="H429" i="3"/>
  <c r="H391" i="3"/>
  <c r="H359" i="3"/>
  <c r="H325" i="3"/>
  <c r="H291" i="3"/>
  <c r="H256" i="3"/>
  <c r="H226" i="3"/>
  <c r="H192" i="3"/>
  <c r="H158" i="3"/>
  <c r="H127" i="3"/>
  <c r="H95" i="3"/>
  <c r="H63" i="3"/>
  <c r="H32" i="3"/>
  <c r="G696" i="3"/>
  <c r="G666" i="3"/>
  <c r="G637" i="3"/>
  <c r="G607" i="3"/>
  <c r="G578" i="3"/>
  <c r="G549" i="3"/>
  <c r="G520" i="3"/>
  <c r="G493" i="3"/>
  <c r="G464" i="3"/>
  <c r="G437" i="3"/>
  <c r="G410" i="3"/>
  <c r="G383" i="3"/>
  <c r="G356" i="3"/>
  <c r="G329" i="3"/>
  <c r="G300" i="3"/>
  <c r="G274" i="3"/>
  <c r="G246" i="3"/>
  <c r="G219" i="3"/>
  <c r="G194" i="3"/>
  <c r="G169" i="3"/>
  <c r="G145" i="3"/>
  <c r="G121" i="3"/>
  <c r="G98" i="3"/>
  <c r="G74" i="3"/>
  <c r="G51" i="3"/>
  <c r="G28" i="3"/>
  <c r="G5" i="3"/>
  <c r="F25" i="3"/>
  <c r="F48" i="3"/>
  <c r="F71" i="3"/>
  <c r="F94" i="3"/>
  <c r="F116" i="3"/>
  <c r="F138" i="3"/>
  <c r="F160" i="3"/>
  <c r="F183" i="3"/>
  <c r="F206" i="3"/>
  <c r="F228" i="3"/>
  <c r="F250" i="3"/>
  <c r="F272" i="3"/>
  <c r="F294" i="3"/>
  <c r="F316" i="3"/>
  <c r="F338" i="3"/>
  <c r="F360" i="3"/>
  <c r="F382" i="3"/>
  <c r="F405" i="3"/>
  <c r="F427" i="3"/>
  <c r="F449" i="3"/>
  <c r="F471" i="3"/>
  <c r="F493" i="3"/>
  <c r="F515" i="3"/>
  <c r="F537" i="3"/>
  <c r="F559" i="3"/>
  <c r="F581" i="3"/>
  <c r="F605" i="3"/>
  <c r="F627" i="3"/>
  <c r="F649" i="3"/>
  <c r="F671" i="3"/>
  <c r="F693" i="3"/>
  <c r="K592" i="3"/>
  <c r="K485" i="3"/>
  <c r="K376" i="3"/>
  <c r="K274" i="3"/>
  <c r="K167" i="3"/>
  <c r="K47" i="3"/>
  <c r="J657" i="3"/>
  <c r="J552" i="3"/>
  <c r="J450" i="3"/>
  <c r="J372" i="3"/>
  <c r="J266" i="3"/>
  <c r="J172" i="3"/>
  <c r="J92" i="3"/>
  <c r="I693" i="3"/>
  <c r="I628" i="3"/>
  <c r="I561" i="3"/>
  <c r="I500" i="3"/>
  <c r="I449" i="3"/>
  <c r="I393" i="3"/>
  <c r="I347" i="3"/>
  <c r="I299" i="3"/>
  <c r="I255" i="3"/>
  <c r="I212" i="3"/>
  <c r="I171" i="3"/>
  <c r="I126" i="3"/>
  <c r="I83" i="3"/>
  <c r="I44" i="3"/>
  <c r="I3" i="3"/>
  <c r="H654" i="3"/>
  <c r="H614" i="3"/>
  <c r="H575" i="3"/>
  <c r="H534" i="3"/>
  <c r="H496" i="3"/>
  <c r="H462" i="3"/>
  <c r="H425" i="3"/>
  <c r="H388" i="3"/>
  <c r="H356" i="3"/>
  <c r="H321" i="3"/>
  <c r="H288" i="3"/>
  <c r="H254" i="3"/>
  <c r="H219" i="3"/>
  <c r="H187" i="3"/>
  <c r="H155" i="3"/>
  <c r="H123" i="3"/>
  <c r="H92" i="3"/>
  <c r="H60" i="3"/>
  <c r="H29" i="3"/>
  <c r="G693" i="3"/>
  <c r="G663" i="3"/>
  <c r="G633" i="3"/>
  <c r="G604" i="3"/>
  <c r="G574" i="3"/>
  <c r="G547" i="3"/>
  <c r="G518" i="3"/>
  <c r="G490" i="3"/>
  <c r="G461" i="3"/>
  <c r="G434" i="3"/>
  <c r="G408" i="3"/>
  <c r="G380" i="3"/>
  <c r="G353" i="3"/>
  <c r="G326" i="3"/>
  <c r="K590" i="3"/>
  <c r="K484" i="3"/>
  <c r="K375" i="3"/>
  <c r="K262" i="3"/>
  <c r="K162" i="3"/>
  <c r="K46" i="3"/>
  <c r="J653" i="3"/>
  <c r="J548" i="3"/>
  <c r="J448" i="3"/>
  <c r="J371" i="3"/>
  <c r="J261" i="3"/>
  <c r="J169" i="3"/>
  <c r="J80" i="3"/>
  <c r="I692" i="3"/>
  <c r="I627" i="3"/>
  <c r="I556" i="3"/>
  <c r="I498" i="3"/>
  <c r="I447" i="3"/>
  <c r="I391" i="3"/>
  <c r="I344" i="3"/>
  <c r="I298" i="3"/>
  <c r="I251" i="3"/>
  <c r="I207" i="3"/>
  <c r="I169" i="3"/>
  <c r="I125" i="3"/>
  <c r="I82" i="3"/>
  <c r="I42" i="3"/>
  <c r="H696" i="3"/>
  <c r="H653" i="3"/>
  <c r="H611" i="3"/>
  <c r="H571" i="3"/>
  <c r="H532" i="3"/>
  <c r="H495" i="3"/>
  <c r="H460" i="3"/>
  <c r="H423" i="3"/>
  <c r="H387" i="3"/>
  <c r="H355" i="3"/>
  <c r="H320" i="3"/>
  <c r="H286" i="3"/>
  <c r="H250" i="3"/>
  <c r="H218" i="3"/>
  <c r="H186" i="3"/>
  <c r="H154" i="3"/>
  <c r="H122" i="3"/>
  <c r="H90" i="3"/>
  <c r="H59" i="3"/>
  <c r="H28" i="3"/>
  <c r="G692" i="3"/>
  <c r="G659" i="3"/>
  <c r="G632" i="3"/>
  <c r="G603" i="3"/>
  <c r="G573" i="3"/>
  <c r="G546" i="3"/>
  <c r="G517" i="3"/>
  <c r="G488" i="3"/>
  <c r="G460" i="3"/>
  <c r="G433" i="3"/>
  <c r="G407" i="3"/>
  <c r="G379" i="3"/>
  <c r="G352" i="3"/>
  <c r="G323" i="3"/>
  <c r="K588" i="3"/>
  <c r="K482" i="3"/>
  <c r="K372" i="3"/>
  <c r="K259" i="3"/>
  <c r="K152" i="3"/>
  <c r="K43" i="3"/>
  <c r="J645" i="3"/>
  <c r="J532" i="3"/>
  <c r="J447" i="3"/>
  <c r="J351" i="3"/>
  <c r="J260" i="3"/>
  <c r="J166" i="3"/>
  <c r="J71" i="3"/>
  <c r="I691" i="3"/>
  <c r="I624" i="3"/>
  <c r="I554" i="3"/>
  <c r="I492" i="3"/>
  <c r="I439" i="3"/>
  <c r="I388" i="3"/>
  <c r="I343" i="3"/>
  <c r="I297" i="3"/>
  <c r="I249" i="3"/>
  <c r="I206" i="3"/>
  <c r="I168" i="3"/>
  <c r="I124" i="3"/>
  <c r="I80" i="3"/>
  <c r="I39" i="3"/>
  <c r="H693" i="3"/>
  <c r="H651" i="3"/>
  <c r="H610" i="3"/>
  <c r="H569" i="3"/>
  <c r="H531" i="3"/>
  <c r="H493" i="3"/>
  <c r="H458" i="3"/>
  <c r="H421" i="3"/>
  <c r="H386" i="3"/>
  <c r="H354" i="3"/>
  <c r="H319" i="3"/>
  <c r="H282" i="3"/>
  <c r="H249" i="3"/>
  <c r="H217" i="3"/>
  <c r="H185" i="3"/>
  <c r="H152" i="3"/>
  <c r="H121" i="3"/>
  <c r="H89" i="3"/>
  <c r="H57" i="3"/>
  <c r="H27" i="3"/>
  <c r="G691" i="3"/>
  <c r="G658" i="3"/>
  <c r="G630" i="3"/>
  <c r="G601" i="3"/>
  <c r="G572" i="3"/>
  <c r="G544" i="3"/>
  <c r="G516" i="3"/>
  <c r="G487" i="3"/>
  <c r="G459" i="3"/>
  <c r="G432" i="3"/>
  <c r="G406" i="3"/>
  <c r="G378" i="3"/>
  <c r="G349" i="3"/>
  <c r="G321" i="3"/>
  <c r="G294" i="3"/>
  <c r="G268" i="3"/>
  <c r="G240" i="3"/>
  <c r="G215" i="3"/>
  <c r="G189" i="3"/>
  <c r="G164" i="3"/>
  <c r="G140" i="3"/>
  <c r="G116" i="3"/>
  <c r="G93" i="3"/>
  <c r="G70" i="3"/>
  <c r="G47" i="3"/>
  <c r="G24" i="3"/>
  <c r="F6" i="3"/>
  <c r="F29" i="3"/>
  <c r="F52" i="3"/>
  <c r="F75" i="3"/>
  <c r="F99" i="3"/>
  <c r="F121" i="3"/>
  <c r="F143" i="3"/>
  <c r="F166" i="3"/>
  <c r="F188" i="3"/>
  <c r="F210" i="3"/>
  <c r="F232" i="3"/>
  <c r="F254" i="3"/>
  <c r="F276" i="3"/>
  <c r="F298" i="3"/>
  <c r="F320" i="3"/>
  <c r="F342" i="3"/>
  <c r="F365" i="3"/>
  <c r="F387" i="3"/>
  <c r="F409" i="3"/>
  <c r="F431" i="3"/>
  <c r="F453" i="3"/>
  <c r="F475" i="3"/>
  <c r="F497" i="3"/>
  <c r="F520" i="3"/>
  <c r="F542" i="3"/>
  <c r="F565" i="3"/>
  <c r="F587" i="3"/>
  <c r="F609" i="3"/>
  <c r="F631" i="3"/>
  <c r="F653" i="3"/>
  <c r="F675" i="3"/>
  <c r="F3" i="3"/>
  <c r="F679" i="3"/>
  <c r="F650" i="3"/>
  <c r="F615" i="3"/>
  <c r="F586" i="3"/>
  <c r="F553" i="3"/>
  <c r="F522" i="3"/>
  <c r="F490" i="3"/>
  <c r="F458" i="3"/>
  <c r="F428" i="3"/>
  <c r="F394" i="3"/>
  <c r="F363" i="3"/>
  <c r="F332" i="3"/>
  <c r="F300" i="3"/>
  <c r="F269" i="3"/>
  <c r="F235" i="3"/>
  <c r="F199" i="3"/>
  <c r="F163" i="3"/>
  <c r="F125" i="3"/>
  <c r="F89" i="3"/>
  <c r="F50" i="3"/>
  <c r="F9" i="3"/>
  <c r="G33" i="3"/>
  <c r="G72" i="3"/>
  <c r="G113" i="3"/>
  <c r="G151" i="3"/>
  <c r="G192" i="3"/>
  <c r="G237" i="3"/>
  <c r="G280" i="3"/>
  <c r="G331" i="3"/>
  <c r="G386" i="3"/>
  <c r="G439" i="3"/>
  <c r="G495" i="3"/>
  <c r="G551" i="3"/>
  <c r="G612" i="3"/>
  <c r="G669" i="3"/>
  <c r="H36" i="3"/>
  <c r="H98" i="3"/>
  <c r="H161" i="3"/>
  <c r="H228" i="3"/>
  <c r="H295" i="3"/>
  <c r="H361" i="3"/>
  <c r="H431" i="3"/>
  <c r="H507" i="3"/>
  <c r="H581" i="3"/>
  <c r="H662" i="3"/>
  <c r="I52" i="3"/>
  <c r="I134" i="3"/>
  <c r="I223" i="3"/>
  <c r="I306" i="3"/>
  <c r="I404" i="3"/>
  <c r="I512" i="3"/>
  <c r="I648" i="3"/>
  <c r="J108" i="3"/>
  <c r="J279" i="3"/>
  <c r="J472" i="3"/>
  <c r="J669" i="3"/>
  <c r="K192" i="3"/>
  <c r="K403" i="3"/>
  <c r="K620" i="3"/>
  <c r="F678" i="3"/>
  <c r="F647" i="3"/>
  <c r="F614" i="3"/>
  <c r="F585" i="3"/>
  <c r="F552" i="3"/>
  <c r="F521" i="3"/>
  <c r="F488" i="3"/>
  <c r="F457" i="3"/>
  <c r="F425" i="3"/>
  <c r="F392" i="3"/>
  <c r="F362" i="3"/>
  <c r="F331" i="3"/>
  <c r="F299" i="3"/>
  <c r="F266" i="3"/>
  <c r="F234" i="3"/>
  <c r="F194" i="3"/>
  <c r="F162" i="3"/>
  <c r="F123" i="3"/>
  <c r="F83" i="3"/>
  <c r="F49" i="3"/>
  <c r="F8" i="3"/>
  <c r="G40" i="3"/>
  <c r="G73" i="3"/>
  <c r="G114" i="3"/>
  <c r="G156" i="3"/>
  <c r="G193" i="3"/>
  <c r="G238" i="3"/>
  <c r="G287" i="3"/>
  <c r="G332" i="3"/>
  <c r="G387" i="3"/>
  <c r="G440" i="3"/>
  <c r="G496" i="3"/>
  <c r="G553" i="3"/>
  <c r="G613" i="3"/>
  <c r="G671" i="3"/>
  <c r="H37" i="3"/>
  <c r="H99" i="3"/>
  <c r="H163" i="3"/>
  <c r="H229" i="3"/>
  <c r="H297" i="3"/>
  <c r="H362" i="3"/>
  <c r="H432" i="3"/>
  <c r="H508" i="3"/>
  <c r="H583" i="3"/>
  <c r="H665" i="3"/>
  <c r="I53" i="3"/>
  <c r="I137" i="3"/>
  <c r="I224" i="3"/>
  <c r="I312" i="3"/>
  <c r="I408" i="3"/>
  <c r="I513" i="3"/>
  <c r="I652" i="3"/>
  <c r="J111" i="3"/>
  <c r="J298" i="3"/>
  <c r="J479" i="3"/>
  <c r="J670" i="3"/>
  <c r="K195" i="3"/>
  <c r="K405" i="3"/>
  <c r="K624" i="3"/>
  <c r="F677" i="3"/>
  <c r="F645" i="3"/>
  <c r="F613" i="3"/>
  <c r="F583" i="3"/>
  <c r="F549" i="3"/>
  <c r="F518" i="3"/>
  <c r="F487" i="3"/>
  <c r="F455" i="3"/>
  <c r="F423" i="3"/>
  <c r="F391" i="3"/>
  <c r="F361" i="3"/>
  <c r="F327" i="3"/>
  <c r="F297" i="3"/>
  <c r="F265" i="3"/>
  <c r="F233" i="3"/>
  <c r="F193" i="3"/>
  <c r="F158" i="3"/>
  <c r="F122" i="3"/>
  <c r="F82" i="3"/>
  <c r="F46" i="3"/>
  <c r="F7" i="3"/>
  <c r="G41" i="3"/>
  <c r="G77" i="3"/>
  <c r="G115" i="3"/>
  <c r="G157" i="3"/>
  <c r="G196" i="3"/>
  <c r="G239" i="3"/>
  <c r="G288" i="3"/>
  <c r="G335" i="3"/>
  <c r="G390" i="3"/>
  <c r="G446" i="3"/>
  <c r="G498" i="3"/>
  <c r="G556" i="3"/>
  <c r="G615" i="3"/>
  <c r="G673" i="3"/>
  <c r="H39" i="3"/>
  <c r="H102" i="3"/>
  <c r="H170" i="3"/>
  <c r="H233" i="3"/>
  <c r="H299" i="3"/>
  <c r="H365" i="3"/>
  <c r="H438" i="3"/>
  <c r="H512" i="3"/>
  <c r="H587" i="3"/>
  <c r="H667" i="3"/>
  <c r="I55" i="3"/>
  <c r="I145" i="3"/>
  <c r="I228" i="3"/>
  <c r="I316" i="3"/>
  <c r="I412" i="3"/>
  <c r="I519" i="3"/>
  <c r="I654" i="3"/>
  <c r="J120" i="3"/>
  <c r="J302" i="3"/>
  <c r="J488" i="3"/>
  <c r="K3" i="3"/>
  <c r="K203" i="3"/>
  <c r="K417" i="3"/>
  <c r="K635" i="3"/>
  <c r="E297" i="3"/>
  <c r="E180" i="3"/>
  <c r="E403" i="3"/>
  <c r="E272" i="3"/>
  <c r="E43" i="3"/>
  <c r="E226" i="3"/>
  <c r="E46" i="3"/>
  <c r="E67" i="3"/>
  <c r="E109" i="3"/>
  <c r="E312" i="3"/>
  <c r="E74" i="3"/>
  <c r="E134" i="3"/>
  <c r="E245" i="3"/>
  <c r="E22" i="3"/>
  <c r="E29" i="3"/>
  <c r="E44" i="3"/>
  <c r="E179" i="3"/>
  <c r="E314" i="3"/>
  <c r="E359" i="3"/>
  <c r="E88" i="3"/>
  <c r="E220" i="3"/>
  <c r="E103" i="3"/>
  <c r="E155" i="3"/>
  <c r="E163" i="3"/>
  <c r="E7" i="3"/>
  <c r="E66" i="3"/>
  <c r="E102" i="3"/>
  <c r="E131" i="3"/>
  <c r="E340" i="3"/>
  <c r="E690" i="3"/>
  <c r="E9" i="3"/>
  <c r="E37" i="3"/>
  <c r="E60" i="3"/>
  <c r="E133" i="3"/>
  <c r="E263" i="3"/>
  <c r="E306" i="3"/>
  <c r="E351" i="3"/>
  <c r="E30" i="3"/>
  <c r="E53" i="3"/>
  <c r="E221" i="3"/>
  <c r="E360" i="3"/>
  <c r="E369" i="3"/>
  <c r="E16" i="3"/>
  <c r="E75" i="3"/>
  <c r="E141" i="3"/>
  <c r="E164" i="3"/>
  <c r="E229" i="3"/>
  <c r="E298" i="3"/>
  <c r="E634" i="3"/>
  <c r="E654" i="3"/>
  <c r="E684" i="3"/>
  <c r="E664" i="3"/>
  <c r="E644" i="3"/>
  <c r="E624" i="3"/>
  <c r="E604" i="3"/>
  <c r="E584" i="3"/>
  <c r="E564" i="3"/>
  <c r="E544" i="3"/>
  <c r="E524" i="3"/>
  <c r="E504" i="3"/>
  <c r="E484" i="3"/>
  <c r="E464" i="3"/>
  <c r="E444" i="3"/>
  <c r="E424" i="3"/>
  <c r="E404" i="3"/>
  <c r="E661" i="3"/>
  <c r="E641" i="3"/>
  <c r="E621" i="3"/>
  <c r="E601" i="3"/>
  <c r="E581" i="3"/>
  <c r="E561" i="3"/>
  <c r="E541" i="3"/>
  <c r="E521" i="3"/>
  <c r="E501" i="3"/>
  <c r="E481" i="3"/>
  <c r="E461" i="3"/>
  <c r="E441" i="3"/>
  <c r="E421" i="3"/>
  <c r="E401" i="3"/>
  <c r="E692" i="3"/>
  <c r="E672" i="3"/>
  <c r="E632" i="3"/>
  <c r="E612" i="3"/>
  <c r="E592" i="3"/>
  <c r="E572" i="3"/>
  <c r="E552" i="3"/>
  <c r="E532" i="3"/>
  <c r="E512" i="3"/>
  <c r="E492" i="3"/>
  <c r="E472" i="3"/>
  <c r="E452" i="3"/>
  <c r="E432" i="3"/>
  <c r="E412" i="3"/>
  <c r="E686" i="3"/>
  <c r="E666" i="3"/>
  <c r="E646" i="3"/>
  <c r="E626" i="3"/>
  <c r="E606" i="3"/>
  <c r="E586" i="3"/>
  <c r="E566" i="3"/>
  <c r="E546" i="3"/>
  <c r="E526" i="3"/>
  <c r="E506" i="3"/>
  <c r="E486" i="3"/>
  <c r="E466" i="3"/>
  <c r="E446" i="3"/>
  <c r="E426" i="3"/>
  <c r="E406" i="3"/>
  <c r="E643" i="3"/>
  <c r="E623" i="3"/>
  <c r="E603" i="3"/>
  <c r="E583" i="3"/>
  <c r="E563" i="3"/>
  <c r="E543" i="3"/>
  <c r="E523" i="3"/>
  <c r="E503" i="3"/>
  <c r="E483" i="3"/>
  <c r="E691" i="3"/>
  <c r="E671" i="3"/>
  <c r="E651" i="3"/>
  <c r="E631" i="3"/>
  <c r="E611" i="3"/>
  <c r="E591" i="3"/>
  <c r="E571" i="3"/>
  <c r="E551" i="3"/>
  <c r="E531" i="3"/>
  <c r="E511" i="3"/>
  <c r="E491" i="3"/>
  <c r="E471" i="3"/>
  <c r="E451" i="3"/>
  <c r="E431" i="3"/>
  <c r="E411" i="3"/>
  <c r="E685" i="3"/>
  <c r="E645" i="3"/>
  <c r="E625" i="3"/>
  <c r="E605" i="3"/>
  <c r="E585" i="3"/>
  <c r="E565" i="3"/>
  <c r="E545" i="3"/>
  <c r="E525" i="3"/>
  <c r="E505" i="3"/>
  <c r="E485" i="3"/>
  <c r="E682" i="3"/>
  <c r="E662" i="3"/>
  <c r="E642" i="3"/>
  <c r="E622" i="3"/>
  <c r="E602" i="3"/>
  <c r="E582" i="3"/>
  <c r="E562" i="3"/>
  <c r="E542" i="3"/>
  <c r="E522" i="3"/>
  <c r="E502" i="3"/>
  <c r="E482" i="3"/>
  <c r="E462" i="3"/>
  <c r="E442" i="3"/>
  <c r="E422" i="3"/>
  <c r="E402" i="3"/>
  <c r="E679" i="3"/>
  <c r="E659" i="3"/>
  <c r="E639" i="3"/>
  <c r="E619" i="3"/>
  <c r="E599" i="3"/>
  <c r="E579" i="3"/>
  <c r="E559" i="3"/>
  <c r="E539" i="3"/>
  <c r="E519" i="3"/>
  <c r="E499" i="3"/>
  <c r="E479" i="3"/>
  <c r="E459" i="3"/>
  <c r="E439" i="3"/>
  <c r="E419" i="3"/>
  <c r="E399" i="3"/>
  <c r="E427" i="3"/>
  <c r="E386" i="3"/>
  <c r="E670" i="3"/>
  <c r="E630" i="3"/>
  <c r="E590" i="3"/>
  <c r="E550" i="3"/>
  <c r="E384" i="3"/>
  <c r="E350" i="3"/>
  <c r="E270" i="3"/>
  <c r="E190" i="3"/>
  <c r="E110" i="3"/>
  <c r="E507" i="3"/>
  <c r="E530" i="3"/>
  <c r="E380" i="3"/>
  <c r="E290" i="3"/>
  <c r="E210" i="3"/>
  <c r="E570" i="3"/>
  <c r="E393" i="3"/>
  <c r="E331" i="3"/>
  <c r="E387" i="3"/>
  <c r="E487" i="3"/>
  <c r="E667" i="3"/>
  <c r="E650" i="3"/>
  <c r="E330" i="3"/>
  <c r="E250" i="3"/>
  <c r="E385" i="3"/>
  <c r="E378" i="3"/>
  <c r="E467" i="3"/>
  <c r="E381" i="3"/>
  <c r="E392" i="3"/>
  <c r="E342" i="3"/>
  <c r="E299" i="3"/>
  <c r="E268" i="3"/>
  <c r="E222" i="3"/>
  <c r="E196" i="3"/>
  <c r="E125" i="3"/>
  <c r="E527" i="3"/>
  <c r="E490" i="3"/>
  <c r="E379" i="3"/>
  <c r="E353" i="3"/>
  <c r="E291" i="3"/>
  <c r="E279" i="3"/>
  <c r="E607" i="3"/>
  <c r="E349" i="3"/>
  <c r="E334" i="3"/>
  <c r="E257" i="3"/>
  <c r="E171" i="3"/>
  <c r="E382" i="3"/>
  <c r="E139" i="3"/>
  <c r="E647" i="3"/>
  <c r="E343" i="3"/>
  <c r="E269" i="3"/>
  <c r="E262" i="3"/>
  <c r="E212" i="3"/>
  <c r="E254" i="3"/>
  <c r="E145" i="3"/>
  <c r="E116" i="3"/>
  <c r="E42" i="3"/>
  <c r="E410" i="3"/>
  <c r="E363" i="3"/>
  <c r="E317" i="3"/>
  <c r="E296" i="3"/>
  <c r="E276" i="3"/>
  <c r="E249" i="3"/>
  <c r="E192" i="3"/>
  <c r="E188" i="3"/>
  <c r="E149" i="3"/>
  <c r="E94" i="3"/>
  <c r="E77" i="3"/>
  <c r="E49" i="3"/>
  <c r="E12" i="3"/>
  <c r="E339" i="3"/>
  <c r="E166" i="3"/>
  <c r="E329" i="3"/>
  <c r="E323" i="3"/>
  <c r="E215" i="3"/>
  <c r="E119" i="3"/>
  <c r="E90" i="3"/>
  <c r="E45" i="3"/>
  <c r="E21" i="3"/>
  <c r="E18" i="3"/>
  <c r="E348" i="3"/>
  <c r="E228" i="3"/>
  <c r="E219" i="3"/>
  <c r="E170" i="3"/>
  <c r="E38" i="3"/>
  <c r="E687" i="3"/>
  <c r="E547" i="3"/>
  <c r="E391" i="3"/>
  <c r="E310" i="3"/>
  <c r="E295" i="3"/>
  <c r="E285" i="3"/>
  <c r="E266" i="3"/>
  <c r="E253" i="3"/>
  <c r="E148" i="3"/>
  <c r="E122" i="3"/>
  <c r="E383" i="3"/>
  <c r="E305" i="3"/>
  <c r="E223" i="3"/>
  <c r="E214" i="3"/>
  <c r="E205" i="3"/>
  <c r="E191" i="3"/>
  <c r="E152" i="3"/>
  <c r="E140" i="3"/>
  <c r="E24" i="3"/>
  <c r="E8" i="3"/>
  <c r="E372" i="3"/>
  <c r="E136" i="3"/>
  <c r="E132" i="3"/>
  <c r="E62" i="3"/>
  <c r="E433" i="3"/>
  <c r="E377" i="3"/>
  <c r="E333" i="3"/>
  <c r="E111" i="3"/>
  <c r="E89" i="3"/>
  <c r="E34" i="3"/>
  <c r="E14" i="3"/>
  <c r="E610" i="3"/>
  <c r="E450" i="3"/>
  <c r="E407" i="3"/>
  <c r="E160" i="3"/>
  <c r="E128" i="3"/>
  <c r="E118" i="3"/>
  <c r="E96" i="3"/>
  <c r="E82" i="3"/>
  <c r="E65" i="3"/>
  <c r="E58" i="3"/>
  <c r="E27" i="3"/>
  <c r="E389" i="3"/>
  <c r="E337" i="3"/>
  <c r="E265" i="3"/>
  <c r="E256" i="3"/>
  <c r="E356" i="3"/>
  <c r="E213" i="3"/>
  <c r="E177" i="3"/>
  <c r="E627" i="3"/>
  <c r="E371" i="3"/>
  <c r="E320" i="3"/>
  <c r="E260" i="3"/>
  <c r="E199" i="3"/>
  <c r="E124" i="3"/>
  <c r="E61" i="3"/>
  <c r="E26" i="3"/>
  <c r="E4" i="3"/>
  <c r="E346" i="3"/>
  <c r="E326" i="3"/>
  <c r="E308" i="3"/>
  <c r="E288" i="3"/>
  <c r="E273" i="3"/>
  <c r="E251" i="3"/>
  <c r="E208" i="3"/>
  <c r="E413" i="3"/>
  <c r="E293" i="3"/>
  <c r="E375" i="3"/>
  <c r="E336" i="3"/>
  <c r="E142" i="3"/>
  <c r="E78" i="3"/>
  <c r="E447" i="3"/>
  <c r="E364" i="3"/>
  <c r="E240" i="3"/>
  <c r="E230" i="3"/>
  <c r="E154" i="3"/>
  <c r="E150" i="3"/>
  <c r="E113" i="3"/>
  <c r="E81" i="3"/>
  <c r="E39" i="3"/>
  <c r="E69" i="3"/>
  <c r="E76" i="3"/>
  <c r="E120" i="3"/>
  <c r="E173" i="3"/>
  <c r="E198" i="3"/>
  <c r="E194" i="3"/>
  <c r="E31" i="3"/>
  <c r="E83" i="3"/>
  <c r="E105" i="3"/>
  <c r="E112" i="3"/>
  <c r="E17" i="3"/>
  <c r="E32" i="3"/>
  <c r="E54" i="3"/>
  <c r="E84" i="3"/>
  <c r="E91" i="3"/>
  <c r="E98" i="3"/>
  <c r="E282" i="3"/>
  <c r="E428" i="3"/>
  <c r="E10" i="3"/>
  <c r="E25" i="3"/>
  <c r="E47" i="3"/>
  <c r="E70" i="3"/>
  <c r="E135" i="3"/>
  <c r="E158" i="3"/>
  <c r="E174" i="3"/>
  <c r="E231" i="3"/>
  <c r="E300" i="3"/>
  <c r="E318" i="3"/>
  <c r="E354" i="3"/>
  <c r="E567" i="3"/>
  <c r="E577" i="3"/>
  <c r="E73" i="3"/>
  <c r="E40" i="3"/>
  <c r="E63" i="3"/>
  <c r="E309" i="3"/>
  <c r="E587" i="3"/>
  <c r="E11" i="3"/>
  <c r="E48" i="3"/>
  <c r="E121" i="3"/>
  <c r="E143" i="3"/>
  <c r="E167" i="3"/>
  <c r="E216" i="3"/>
  <c r="E232" i="3"/>
  <c r="E292" i="3"/>
  <c r="E345" i="3"/>
  <c r="E568" i="3"/>
  <c r="E578" i="3"/>
  <c r="E5" i="3"/>
  <c r="E33" i="3"/>
  <c r="E41" i="3"/>
  <c r="E56" i="3"/>
  <c r="E85" i="3"/>
  <c r="E99" i="3"/>
  <c r="E151" i="3"/>
  <c r="E159" i="3"/>
  <c r="E19" i="3"/>
  <c r="E137" i="3"/>
  <c r="E144" i="3"/>
  <c r="E64" i="3"/>
  <c r="E86" i="3"/>
  <c r="E93" i="3"/>
  <c r="E100" i="3"/>
  <c r="E115" i="3"/>
  <c r="E168" i="3"/>
  <c r="E217" i="3"/>
  <c r="E225" i="3"/>
  <c r="E259" i="3"/>
  <c r="E302" i="3"/>
  <c r="E6" i="3"/>
  <c r="E57" i="3"/>
  <c r="E71" i="3"/>
  <c r="E130" i="3"/>
  <c r="E193" i="3"/>
  <c r="E294" i="3"/>
  <c r="E51" i="3"/>
  <c r="E20" i="3"/>
  <c r="E50" i="3"/>
  <c r="E108" i="3"/>
  <c r="E185" i="3"/>
  <c r="E202" i="3"/>
  <c r="E234" i="3"/>
  <c r="E277" i="3"/>
  <c r="E80" i="3"/>
  <c r="E186" i="3"/>
  <c r="E13" i="3"/>
  <c r="E28" i="3"/>
  <c r="E138" i="3"/>
  <c r="E374" i="3"/>
  <c r="E36" i="3"/>
  <c r="E117" i="3"/>
  <c r="E127" i="3"/>
  <c r="E146" i="3"/>
  <c r="E176" i="3"/>
  <c r="E189" i="3"/>
  <c r="E235" i="3"/>
  <c r="E319" i="3"/>
  <c r="E325" i="3"/>
  <c r="E355" i="3"/>
  <c r="E588" i="3"/>
  <c r="E598" i="3"/>
  <c r="E673" i="3"/>
  <c r="E95" i="3"/>
  <c r="E106" i="3"/>
  <c r="E172" i="3"/>
  <c r="E278" i="3"/>
  <c r="E313" i="3"/>
  <c r="E341" i="3"/>
  <c r="E430" i="3"/>
  <c r="E457" i="3"/>
  <c r="E515" i="3"/>
  <c r="E569" i="3"/>
  <c r="E203" i="3"/>
  <c r="E303" i="3"/>
  <c r="E448" i="3"/>
  <c r="E636" i="3"/>
  <c r="E92" i="3"/>
  <c r="E181" i="3"/>
  <c r="E246" i="3"/>
  <c r="E264" i="3"/>
  <c r="E478" i="3"/>
  <c r="E497" i="3"/>
  <c r="E618" i="3"/>
  <c r="E68" i="3"/>
  <c r="E114" i="3"/>
  <c r="E204" i="3"/>
  <c r="E236" i="3"/>
  <c r="E241" i="3"/>
  <c r="E449" i="3"/>
  <c r="E488" i="3"/>
  <c r="E553" i="3"/>
  <c r="E609" i="3"/>
  <c r="E147" i="3"/>
  <c r="E366" i="3"/>
  <c r="E376" i="3"/>
  <c r="E469" i="3"/>
  <c r="E23" i="3"/>
  <c r="E72" i="3"/>
  <c r="E195" i="3"/>
  <c r="E209" i="3"/>
  <c r="E252" i="3"/>
  <c r="E284" i="3"/>
  <c r="E289" i="3"/>
  <c r="E321" i="3"/>
  <c r="E517" i="3"/>
  <c r="E638" i="3"/>
  <c r="E694" i="3"/>
  <c r="E79" i="3"/>
  <c r="E169" i="3"/>
  <c r="E200" i="3"/>
  <c r="E247" i="3"/>
  <c r="E274" i="3"/>
  <c r="E304" i="3"/>
  <c r="E327" i="3"/>
  <c r="E470" i="3"/>
  <c r="E156" i="3"/>
  <c r="E182" i="3"/>
  <c r="E218" i="3"/>
  <c r="E352" i="3"/>
  <c r="E390" i="3"/>
  <c r="E416" i="3"/>
  <c r="E555" i="3"/>
  <c r="E55" i="3"/>
  <c r="E237" i="3"/>
  <c r="E315" i="3"/>
  <c r="E328" i="3"/>
  <c r="E573" i="3"/>
  <c r="E104" i="3"/>
  <c r="E178" i="3"/>
  <c r="E248" i="3"/>
  <c r="E280" i="3"/>
  <c r="E322" i="3"/>
  <c r="E362" i="3"/>
  <c r="E556" i="3"/>
  <c r="E640" i="3"/>
  <c r="E678" i="3"/>
  <c r="E59" i="3"/>
  <c r="E161" i="3"/>
  <c r="E238" i="3"/>
  <c r="E316" i="3"/>
  <c r="E510" i="3"/>
  <c r="E97" i="3"/>
  <c r="E129" i="3"/>
  <c r="E243" i="3"/>
  <c r="E557" i="3"/>
  <c r="E660" i="3"/>
  <c r="E15" i="3"/>
  <c r="E101" i="3"/>
  <c r="E157" i="3"/>
  <c r="E183" i="3"/>
  <c r="E224" i="3"/>
  <c r="E281" i="3"/>
  <c r="E358" i="3"/>
  <c r="E368" i="3"/>
  <c r="E373" i="3"/>
  <c r="E453" i="3"/>
  <c r="E688" i="3"/>
  <c r="E35" i="3"/>
  <c r="E206" i="3"/>
  <c r="E258" i="3"/>
  <c r="E301" i="3"/>
  <c r="E311" i="3"/>
  <c r="E344" i="3"/>
  <c r="E493" i="3"/>
  <c r="E211" i="3"/>
  <c r="E244" i="3"/>
  <c r="E271" i="3"/>
  <c r="E286" i="3"/>
  <c r="E335" i="3"/>
  <c r="E454" i="3"/>
  <c r="E474" i="3"/>
  <c r="E614" i="3"/>
  <c r="E652" i="3"/>
  <c r="E87" i="3"/>
  <c r="E197" i="3"/>
  <c r="E324" i="3"/>
  <c r="E437" i="3"/>
  <c r="E549" i="3"/>
  <c r="E596" i="3"/>
  <c r="E52" i="3"/>
  <c r="E126" i="3"/>
  <c r="E153" i="3"/>
  <c r="E165" i="3"/>
  <c r="E201" i="3"/>
  <c r="E227" i="3"/>
  <c r="E239" i="3"/>
  <c r="E255" i="3"/>
  <c r="E332" i="3"/>
  <c r="E438" i="3"/>
  <c r="E593" i="3"/>
  <c r="E656" i="3"/>
  <c r="E123" i="3"/>
  <c r="E367" i="3"/>
  <c r="E465" i="3"/>
  <c r="E494" i="3"/>
  <c r="E540" i="3"/>
  <c r="E162" i="3"/>
  <c r="E184" i="3"/>
  <c r="E397" i="3"/>
  <c r="E458" i="3"/>
  <c r="E477" i="3"/>
  <c r="E533" i="3"/>
  <c r="E677" i="3"/>
  <c r="E207" i="3"/>
  <c r="E233" i="3"/>
  <c r="E275" i="3"/>
  <c r="E338" i="3"/>
  <c r="E365" i="3"/>
  <c r="E408" i="3"/>
  <c r="E425" i="3"/>
  <c r="E589" i="3"/>
  <c r="E635" i="3"/>
  <c r="E283" i="3"/>
  <c r="E357" i="3"/>
  <c r="E361" i="3"/>
  <c r="E370" i="3"/>
  <c r="E617" i="3"/>
  <c r="E681" i="3"/>
  <c r="E689" i="3"/>
  <c r="E175" i="3"/>
  <c r="E242" i="3"/>
  <c r="E261" i="3"/>
  <c r="E307" i="3"/>
  <c r="E418" i="3"/>
  <c r="E509" i="3"/>
  <c r="E608" i="3"/>
  <c r="E435" i="3"/>
  <c r="E443" i="3"/>
  <c r="E476" i="3"/>
  <c r="E508" i="3"/>
  <c r="E600" i="3"/>
  <c r="E616" i="3"/>
  <c r="E633" i="3"/>
  <c r="E649" i="3"/>
  <c r="E658" i="3"/>
  <c r="E675" i="3"/>
  <c r="E683" i="3"/>
  <c r="E398" i="3"/>
  <c r="E420" i="3"/>
  <c r="E460" i="3"/>
  <c r="E518" i="3"/>
  <c r="E534" i="3"/>
  <c r="E436" i="3"/>
  <c r="E468" i="3"/>
  <c r="E560" i="3"/>
  <c r="E576" i="3"/>
  <c r="E676" i="3"/>
  <c r="E400" i="3"/>
  <c r="E414" i="3"/>
  <c r="E429" i="3"/>
  <c r="E445" i="3"/>
  <c r="E520" i="3"/>
  <c r="E536" i="3"/>
  <c r="E594" i="3"/>
  <c r="E668" i="3"/>
  <c r="E415" i="3"/>
  <c r="E528" i="3"/>
  <c r="E537" i="3"/>
  <c r="E595" i="3"/>
  <c r="E669" i="3"/>
  <c r="E463" i="3"/>
  <c r="E480" i="3"/>
  <c r="E496" i="3"/>
  <c r="E554" i="3"/>
  <c r="E620" i="3"/>
  <c r="E637" i="3"/>
  <c r="E423" i="3"/>
  <c r="E513" i="3"/>
  <c r="E529" i="3"/>
  <c r="E538" i="3"/>
  <c r="E628" i="3"/>
  <c r="E287" i="3"/>
  <c r="E394" i="3"/>
  <c r="E440" i="3"/>
  <c r="E456" i="3"/>
  <c r="E514" i="3"/>
  <c r="E580" i="3"/>
  <c r="E629" i="3"/>
  <c r="E663" i="3"/>
  <c r="E680" i="3"/>
  <c r="E696" i="3"/>
  <c r="E388" i="3"/>
  <c r="E473" i="3"/>
  <c r="E489" i="3"/>
  <c r="E498" i="3"/>
  <c r="E597" i="3"/>
  <c r="E107" i="3"/>
  <c r="E187" i="3"/>
  <c r="E267" i="3"/>
  <c r="E347" i="3"/>
  <c r="E396" i="3"/>
  <c r="E475" i="3"/>
  <c r="E516" i="3"/>
  <c r="E548" i="3"/>
  <c r="E434" i="3"/>
  <c r="E500" i="3"/>
  <c r="E558" i="3"/>
  <c r="E574" i="3"/>
  <c r="E648" i="3"/>
  <c r="E657" i="3"/>
  <c r="E665" i="3"/>
  <c r="E674" i="3"/>
  <c r="E613" i="3"/>
  <c r="E653" i="3"/>
  <c r="E693" i="3"/>
  <c r="E395" i="3"/>
  <c r="E409" i="3"/>
  <c r="E417" i="3"/>
  <c r="E455" i="3"/>
  <c r="E495" i="3"/>
  <c r="E535" i="3"/>
  <c r="E575" i="3"/>
  <c r="E615" i="3"/>
  <c r="E655" i="3"/>
  <c r="E695" i="3"/>
  <c r="E405" i="3"/>
  <c r="E515" i="4" l="1"/>
  <c r="E131" i="4"/>
  <c r="E290" i="4"/>
  <c r="I658" i="4"/>
  <c r="E83" i="4"/>
  <c r="G585" i="4"/>
  <c r="E341" i="4"/>
  <c r="I692" i="4"/>
  <c r="E409" i="4"/>
  <c r="E571" i="4"/>
  <c r="I411" i="4"/>
  <c r="E244" i="4"/>
  <c r="E591" i="4"/>
  <c r="G47" i="4"/>
  <c r="E535" i="4"/>
  <c r="E122" i="4"/>
  <c r="G553" i="4"/>
  <c r="E425" i="4"/>
  <c r="E336" i="4"/>
  <c r="M55" i="4"/>
  <c r="K391" i="4"/>
  <c r="E438" i="4"/>
  <c r="E329" i="4"/>
  <c r="K667" i="4"/>
  <c r="I633" i="4"/>
  <c r="E101" i="4"/>
  <c r="E530" i="4"/>
  <c r="K431" i="4"/>
  <c r="G666" i="4"/>
  <c r="E236" i="4"/>
  <c r="E507" i="4"/>
  <c r="G613" i="4"/>
  <c r="K28" i="4"/>
  <c r="M458" i="4"/>
  <c r="E608" i="4"/>
  <c r="E208" i="4"/>
  <c r="E444" i="4"/>
  <c r="G254" i="4"/>
  <c r="I438" i="4"/>
  <c r="E498" i="4"/>
  <c r="I334" i="4"/>
  <c r="E396" i="4"/>
  <c r="E215" i="4"/>
  <c r="G521" i="4"/>
  <c r="E454" i="4"/>
  <c r="E499" i="4"/>
  <c r="G518" i="4"/>
  <c r="G493" i="4"/>
  <c r="E335" i="4"/>
  <c r="E380" i="4"/>
  <c r="K583" i="4"/>
  <c r="K614" i="4"/>
  <c r="E104" i="4"/>
  <c r="E268" i="4"/>
  <c r="K508" i="4"/>
  <c r="G449" i="4"/>
  <c r="E107" i="4"/>
  <c r="E568" i="4"/>
  <c r="E486" i="4"/>
  <c r="G276" i="4"/>
  <c r="K499" i="4"/>
  <c r="K40" i="4"/>
  <c r="E328" i="4"/>
  <c r="E343" i="4"/>
  <c r="G645" i="4"/>
  <c r="Q46" i="4"/>
  <c r="G178" i="4"/>
  <c r="E233" i="4"/>
  <c r="G492" i="4"/>
  <c r="E142" i="4"/>
  <c r="I239" i="4"/>
  <c r="E347" i="4"/>
  <c r="E6" i="4"/>
  <c r="E102" i="4"/>
  <c r="O266" i="4"/>
  <c r="E476" i="4"/>
  <c r="E253" i="4"/>
  <c r="E66" i="4"/>
  <c r="G25" i="4"/>
  <c r="E138" i="4"/>
  <c r="E551" i="4"/>
  <c r="G614" i="4"/>
  <c r="I520" i="4"/>
  <c r="E676" i="4"/>
  <c r="E194" i="4"/>
  <c r="E592" i="4"/>
  <c r="G679" i="4"/>
  <c r="I549" i="4"/>
  <c r="Q4" i="4"/>
  <c r="E278" i="4"/>
  <c r="E579" i="4"/>
  <c r="K295" i="4"/>
  <c r="M44" i="4"/>
  <c r="M510" i="4"/>
  <c r="E517" i="4"/>
  <c r="I229" i="4"/>
  <c r="E445" i="4"/>
  <c r="E627" i="4"/>
  <c r="I193" i="4"/>
  <c r="E538" i="4"/>
  <c r="E36" i="4"/>
  <c r="E641" i="4"/>
  <c r="O371" i="4"/>
  <c r="E267" i="4"/>
  <c r="E318" i="4"/>
  <c r="E446" i="4"/>
  <c r="K653" i="4"/>
  <c r="E443" i="4"/>
  <c r="E293" i="4"/>
  <c r="E7" i="4"/>
  <c r="K27" i="4"/>
  <c r="G115" i="4"/>
  <c r="E15" i="4"/>
  <c r="E339" i="4"/>
  <c r="K432" i="4"/>
  <c r="O653" i="4"/>
  <c r="K169" i="4"/>
  <c r="E637" i="4"/>
  <c r="E174" i="4"/>
  <c r="E506" i="4"/>
  <c r="G3" i="4"/>
  <c r="O657" i="4"/>
  <c r="O182" i="4"/>
  <c r="I201" i="4"/>
  <c r="E186" i="4"/>
  <c r="G156" i="4"/>
  <c r="E589" i="4"/>
  <c r="E125" i="4"/>
  <c r="I93" i="4"/>
  <c r="E200" i="4"/>
  <c r="E511" i="4"/>
  <c r="G552" i="4"/>
  <c r="K575" i="4"/>
  <c r="E414" i="4"/>
  <c r="E111" i="4"/>
  <c r="E226" i="4"/>
  <c r="G471" i="4"/>
  <c r="E578" i="4"/>
  <c r="E572" i="4"/>
  <c r="I164" i="4"/>
  <c r="I384" i="4"/>
  <c r="E313" i="4"/>
  <c r="E559" i="4"/>
  <c r="K361" i="4"/>
  <c r="O552" i="4"/>
  <c r="Q415" i="4"/>
  <c r="E275" i="4"/>
  <c r="E198" i="4"/>
  <c r="E612" i="4"/>
  <c r="K89" i="4"/>
  <c r="Q514" i="4"/>
  <c r="E620" i="4"/>
  <c r="E158" i="4"/>
  <c r="E394" i="4"/>
  <c r="E567" i="4"/>
  <c r="E512" i="4"/>
  <c r="E429" i="4"/>
  <c r="E354" i="4"/>
  <c r="K665" i="4"/>
  <c r="G602" i="4"/>
  <c r="E302" i="4"/>
  <c r="E531" i="4"/>
  <c r="O532" i="4"/>
  <c r="E513" i="4"/>
  <c r="E300" i="4"/>
  <c r="E404" i="4"/>
  <c r="G298" i="4"/>
  <c r="K465" i="4"/>
  <c r="E271" i="4"/>
  <c r="E285" i="4"/>
  <c r="I77" i="4"/>
  <c r="M42" i="4"/>
  <c r="G200" i="4"/>
  <c r="E395" i="4"/>
  <c r="E13" i="4"/>
  <c r="E342" i="4"/>
  <c r="I41" i="4"/>
  <c r="Q152" i="4"/>
  <c r="G405" i="4"/>
  <c r="K198" i="4"/>
  <c r="E560" i="4"/>
  <c r="E251" i="4"/>
  <c r="E615" i="4"/>
  <c r="E516" i="4"/>
  <c r="E474" i="4"/>
  <c r="E491" i="4"/>
  <c r="I630" i="4"/>
  <c r="O351" i="4"/>
  <c r="I603" i="4"/>
  <c r="K571" i="4"/>
  <c r="O261" i="4"/>
  <c r="I574" i="4"/>
  <c r="K534" i="4"/>
  <c r="O172" i="4"/>
  <c r="G515" i="4"/>
  <c r="G71" i="4"/>
  <c r="I437" i="4"/>
  <c r="K359" i="4"/>
  <c r="M505" i="4"/>
  <c r="G626" i="4"/>
  <c r="G181" i="4"/>
  <c r="I301" i="4"/>
  <c r="K193" i="4"/>
  <c r="M265" i="4"/>
  <c r="Q510" i="4"/>
  <c r="G290" i="4"/>
  <c r="I174" i="4"/>
  <c r="K38" i="4"/>
  <c r="M54" i="4"/>
  <c r="O676" i="4"/>
  <c r="I81" i="4"/>
  <c r="I616" i="4"/>
  <c r="K588" i="4"/>
  <c r="O304" i="4"/>
  <c r="G40" i="4"/>
  <c r="I474" i="4"/>
  <c r="K405" i="4"/>
  <c r="M593" i="4"/>
  <c r="G595" i="4"/>
  <c r="G152" i="4"/>
  <c r="I338" i="4"/>
  <c r="K236" i="4"/>
  <c r="E247" i="4"/>
  <c r="E406" i="4"/>
  <c r="E105" i="4"/>
  <c r="K581" i="4"/>
  <c r="I604" i="4"/>
  <c r="G159" i="4"/>
  <c r="I330" i="4"/>
  <c r="K227" i="4"/>
  <c r="M304" i="4"/>
  <c r="Q616" i="4"/>
  <c r="G268" i="4"/>
  <c r="I199" i="4"/>
  <c r="K69" i="4"/>
  <c r="M100" i="4"/>
  <c r="Q108" i="4"/>
  <c r="I105" i="4"/>
  <c r="I646" i="4"/>
  <c r="K630" i="4"/>
  <c r="O393" i="4"/>
  <c r="G17" i="4"/>
  <c r="I500" i="4"/>
  <c r="K443" i="4"/>
  <c r="M658" i="4"/>
  <c r="G573" i="4"/>
  <c r="G130" i="4"/>
  <c r="I367" i="4"/>
  <c r="K271" i="4"/>
  <c r="M369" i="4"/>
  <c r="G682" i="4"/>
  <c r="G239" i="4"/>
  <c r="I232" i="4"/>
  <c r="K111" i="4"/>
  <c r="M153" i="4"/>
  <c r="Q227" i="4"/>
  <c r="K194" i="4"/>
  <c r="E553" i="4"/>
  <c r="E298" i="4"/>
  <c r="E148" i="4"/>
  <c r="I116" i="4"/>
  <c r="E169" i="4"/>
  <c r="E164" i="4"/>
  <c r="I691" i="4"/>
  <c r="I493" i="4"/>
  <c r="K429" i="4"/>
  <c r="M630" i="4"/>
  <c r="G580" i="4"/>
  <c r="G137" i="4"/>
  <c r="I357" i="4"/>
  <c r="K258" i="4"/>
  <c r="M351" i="4"/>
  <c r="G689" i="4"/>
  <c r="G245" i="4"/>
  <c r="I226" i="4"/>
  <c r="K100" i="4"/>
  <c r="M144" i="4"/>
  <c r="Q196" i="4"/>
  <c r="I129" i="4"/>
  <c r="I674" i="4"/>
  <c r="K668" i="4"/>
  <c r="O490" i="4"/>
  <c r="I12" i="4"/>
  <c r="I530" i="4"/>
  <c r="K476" i="4"/>
  <c r="O47" i="4"/>
  <c r="G551" i="4"/>
  <c r="G108" i="4"/>
  <c r="I393" i="4"/>
  <c r="K302" i="4"/>
  <c r="E41" i="4"/>
  <c r="I632" i="4"/>
  <c r="E213" i="4"/>
  <c r="K507" i="4"/>
  <c r="E333" i="4"/>
  <c r="G583" i="4"/>
  <c r="I663" i="4"/>
  <c r="G222" i="4"/>
  <c r="I252" i="4"/>
  <c r="K132" i="4"/>
  <c r="M181" i="4"/>
  <c r="Q301" i="4"/>
  <c r="I152" i="4"/>
  <c r="K11" i="4"/>
  <c r="M17" i="4"/>
  <c r="O593" i="4"/>
  <c r="I36" i="4"/>
  <c r="I561" i="4"/>
  <c r="K515" i="4"/>
  <c r="O122" i="4"/>
  <c r="G529" i="4"/>
  <c r="G86" i="4"/>
  <c r="I420" i="4"/>
  <c r="K337" i="4"/>
  <c r="M475" i="4"/>
  <c r="G638" i="4"/>
  <c r="G195" i="4"/>
  <c r="E280" i="4"/>
  <c r="M145" i="4"/>
  <c r="E177" i="4"/>
  <c r="G342" i="4"/>
  <c r="E449" i="4"/>
  <c r="I72" i="4"/>
  <c r="E166" i="4"/>
  <c r="K696" i="4"/>
  <c r="E28" i="4"/>
  <c r="E272" i="4"/>
  <c r="I693" i="4"/>
  <c r="K327" i="4"/>
  <c r="I590" i="4"/>
  <c r="K553" i="4"/>
  <c r="O208" i="4"/>
  <c r="G507" i="4"/>
  <c r="G62" i="4"/>
  <c r="I449" i="4"/>
  <c r="K372" i="4"/>
  <c r="M539" i="4"/>
  <c r="G616" i="4"/>
  <c r="G173" i="4"/>
  <c r="I313" i="4"/>
  <c r="K207" i="4"/>
  <c r="M277" i="4"/>
  <c r="Q547" i="4"/>
  <c r="E600" i="4"/>
  <c r="E479" i="4"/>
  <c r="G365" i="4"/>
  <c r="E248" i="4"/>
  <c r="E196" i="4"/>
  <c r="I196" i="4"/>
  <c r="M567" i="4"/>
  <c r="E178" i="4"/>
  <c r="E622" i="4"/>
  <c r="G320" i="4"/>
  <c r="E187" i="4"/>
  <c r="E259" i="4"/>
  <c r="E466" i="4"/>
  <c r="G650" i="4"/>
  <c r="K293" i="4"/>
  <c r="E225" i="4"/>
  <c r="E662" i="4"/>
  <c r="G9" i="4"/>
  <c r="G427" i="4"/>
  <c r="M227" i="4"/>
  <c r="E239" i="4"/>
  <c r="E433" i="4"/>
  <c r="E403" i="4"/>
  <c r="M82" i="4"/>
  <c r="G70" i="4"/>
  <c r="I83" i="4"/>
  <c r="I617" i="4"/>
  <c r="K591" i="4"/>
  <c r="O309" i="4"/>
  <c r="E57" i="4"/>
  <c r="E67" i="4"/>
  <c r="E254" i="4"/>
  <c r="G586" i="4"/>
  <c r="E430" i="4"/>
  <c r="G615" i="4"/>
  <c r="E266" i="4"/>
  <c r="O548" i="4"/>
  <c r="E338" i="4"/>
  <c r="E75" i="4"/>
  <c r="G93" i="4"/>
  <c r="E204" i="4"/>
  <c r="G678" i="4"/>
  <c r="G621" i="4"/>
  <c r="E168" i="4"/>
  <c r="E180" i="4"/>
  <c r="M570" i="4"/>
  <c r="E117" i="4"/>
  <c r="E621" i="4"/>
  <c r="E323" i="4"/>
  <c r="K651" i="4"/>
  <c r="E374" i="4"/>
  <c r="I114" i="4"/>
  <c r="E332" i="4"/>
  <c r="E141" i="4"/>
  <c r="K654" i="4"/>
  <c r="E413" i="4"/>
  <c r="M80" i="4"/>
  <c r="K438" i="4"/>
  <c r="K360" i="4"/>
  <c r="E114" i="4"/>
  <c r="K297" i="4"/>
  <c r="G462" i="4"/>
  <c r="E34" i="4"/>
  <c r="K662" i="4"/>
  <c r="E593" i="4"/>
  <c r="E89" i="4"/>
  <c r="E46" i="4"/>
  <c r="G48" i="4"/>
  <c r="E408" i="4"/>
  <c r="E212" i="4"/>
  <c r="I157" i="4"/>
  <c r="O372" i="4"/>
  <c r="E286" i="4"/>
  <c r="E262" i="4"/>
  <c r="I115" i="4"/>
  <c r="O450" i="4"/>
  <c r="E423" i="4"/>
  <c r="E231" i="4"/>
  <c r="E424" i="4"/>
  <c r="I189" i="4"/>
  <c r="O97" i="4"/>
  <c r="I176" i="4"/>
  <c r="E660" i="4"/>
  <c r="E295" i="4"/>
  <c r="E16" i="4"/>
  <c r="I215" i="4"/>
  <c r="I51" i="4"/>
  <c r="M272" i="4"/>
  <c r="E509" i="4"/>
  <c r="E172" i="4"/>
  <c r="E310" i="4"/>
  <c r="E599" i="4"/>
  <c r="E526" i="4"/>
  <c r="K365" i="4"/>
  <c r="G89" i="4"/>
  <c r="Q162" i="4"/>
  <c r="K230" i="4"/>
  <c r="E112" i="4"/>
  <c r="G487" i="4"/>
  <c r="E495" i="4"/>
  <c r="E457" i="4"/>
  <c r="E426" i="4"/>
  <c r="I113" i="4"/>
  <c r="E519" i="4"/>
  <c r="I140" i="4"/>
  <c r="E417" i="4"/>
  <c r="E241" i="4"/>
  <c r="E539" i="4"/>
  <c r="I73" i="4"/>
  <c r="I5" i="4"/>
  <c r="E435" i="4"/>
  <c r="E256" i="4"/>
  <c r="E163" i="4"/>
  <c r="K57" i="4"/>
  <c r="G536" i="4"/>
  <c r="M56" i="4"/>
  <c r="E638" i="4"/>
  <c r="E12" i="4"/>
  <c r="E155" i="4"/>
  <c r="M124" i="4"/>
  <c r="K539" i="4"/>
  <c r="K71" i="4"/>
  <c r="E227" i="4"/>
  <c r="E292" i="4"/>
  <c r="E49" i="4"/>
  <c r="E611" i="4"/>
  <c r="E103" i="4"/>
  <c r="G49" i="4"/>
  <c r="G232" i="4"/>
  <c r="Q259" i="4"/>
  <c r="Q47" i="4"/>
  <c r="I466" i="4"/>
  <c r="E656" i="4"/>
  <c r="E210" i="4"/>
  <c r="M53" i="4"/>
  <c r="E508" i="4"/>
  <c r="E33" i="4"/>
  <c r="E229" i="4"/>
  <c r="K611" i="4"/>
  <c r="E529" i="4"/>
  <c r="E375" i="4"/>
  <c r="E661" i="4"/>
  <c r="I659" i="4"/>
  <c r="E365" i="4"/>
  <c r="E356" i="4"/>
  <c r="K587" i="4"/>
  <c r="O645" i="4"/>
  <c r="G558" i="4"/>
  <c r="E573" i="4"/>
  <c r="E269" i="4"/>
  <c r="I40" i="4"/>
  <c r="M3" i="4"/>
  <c r="I278" i="4"/>
  <c r="E576" i="4"/>
  <c r="E265" i="4"/>
  <c r="G8" i="4"/>
  <c r="Q112" i="4"/>
  <c r="E315" i="4"/>
  <c r="E337" i="4"/>
  <c r="E392" i="4"/>
  <c r="E632" i="4"/>
  <c r="G7" i="4"/>
  <c r="K228" i="4"/>
  <c r="K121" i="4"/>
  <c r="M125" i="4"/>
  <c r="G382" i="4"/>
  <c r="O270" i="4"/>
  <c r="E628" i="4"/>
  <c r="E145" i="4"/>
  <c r="I151" i="4"/>
  <c r="E183" i="4"/>
  <c r="E602" i="4"/>
  <c r="I156" i="4"/>
  <c r="I464" i="4"/>
  <c r="E157" i="4"/>
  <c r="E222" i="4"/>
  <c r="G549" i="4"/>
  <c r="O448" i="4"/>
  <c r="E79" i="4"/>
  <c r="E642" i="4"/>
  <c r="I33" i="4"/>
  <c r="M401" i="4"/>
  <c r="E694" i="4"/>
  <c r="E299" i="4"/>
  <c r="G647" i="4"/>
  <c r="I28" i="4"/>
  <c r="I59" i="4"/>
  <c r="E217" i="4"/>
  <c r="E682" i="4"/>
  <c r="G50" i="4"/>
  <c r="K29" i="4"/>
  <c r="G514" i="4"/>
  <c r="M104" i="4"/>
  <c r="E211" i="4"/>
  <c r="E173" i="4"/>
  <c r="E647" i="4"/>
  <c r="E485" i="4"/>
  <c r="E369" i="4"/>
  <c r="G677" i="4"/>
  <c r="G675" i="4"/>
  <c r="M168" i="4"/>
  <c r="K60" i="4"/>
  <c r="I607" i="4"/>
  <c r="G599" i="4"/>
  <c r="E224" i="4"/>
  <c r="E582" i="4"/>
  <c r="K610" i="4"/>
  <c r="E488" i="4"/>
  <c r="E532" i="4"/>
  <c r="O447" i="4"/>
  <c r="E455" i="4"/>
  <c r="E5" i="4"/>
  <c r="E552" i="4"/>
  <c r="K693" i="4"/>
  <c r="E400" i="4"/>
  <c r="E31" i="4"/>
  <c r="E43" i="4"/>
  <c r="M39" i="4"/>
  <c r="O20" i="4"/>
  <c r="E255" i="4"/>
  <c r="E377" i="4"/>
  <c r="K512" i="4"/>
  <c r="Q43" i="4"/>
  <c r="G643" i="4"/>
  <c r="E597" i="4"/>
  <c r="E345" i="4"/>
  <c r="E110" i="4"/>
  <c r="K362" i="4"/>
  <c r="K59" i="4"/>
  <c r="I578" i="4"/>
  <c r="I307" i="4"/>
  <c r="E693" i="4"/>
  <c r="E557" i="4"/>
  <c r="E62" i="4"/>
  <c r="E190" i="4"/>
  <c r="E464" i="4"/>
  <c r="Q620" i="4"/>
  <c r="I240" i="4"/>
  <c r="K90" i="4"/>
  <c r="M83" i="4"/>
  <c r="I74" i="4"/>
  <c r="K579" i="4"/>
  <c r="K394" i="4"/>
  <c r="Q628" i="4"/>
  <c r="G129" i="4"/>
  <c r="E207" i="4"/>
  <c r="E115" i="4"/>
  <c r="E139" i="4"/>
  <c r="E672" i="4"/>
  <c r="K161" i="4"/>
  <c r="M126" i="4"/>
  <c r="G220" i="4"/>
  <c r="E574" i="4"/>
  <c r="E537" i="4"/>
  <c r="E681" i="4"/>
  <c r="E184" i="4"/>
  <c r="E549" i="4"/>
  <c r="E35" i="4"/>
  <c r="E161" i="4"/>
  <c r="E218" i="4"/>
  <c r="E72" i="4"/>
  <c r="E181" i="4"/>
  <c r="E325" i="4"/>
  <c r="E50" i="4"/>
  <c r="E137" i="4"/>
  <c r="E11" i="4"/>
  <c r="E282" i="4"/>
  <c r="E150" i="4"/>
  <c r="E26" i="4"/>
  <c r="E118" i="4"/>
  <c r="E152" i="4"/>
  <c r="E228" i="4"/>
  <c r="E276" i="4"/>
  <c r="E607" i="4"/>
  <c r="E650" i="4"/>
  <c r="E670" i="4"/>
  <c r="E442" i="4"/>
  <c r="E625" i="4"/>
  <c r="E523" i="4"/>
  <c r="E666" i="4"/>
  <c r="E481" i="4"/>
  <c r="E604" i="4"/>
  <c r="E263" i="4"/>
  <c r="E29" i="4"/>
  <c r="O302" i="4"/>
  <c r="I615" i="4"/>
  <c r="G265" i="4"/>
  <c r="O111" i="4"/>
  <c r="I553" i="4"/>
  <c r="G299" i="4"/>
  <c r="M648" i="4"/>
  <c r="I495" i="4"/>
  <c r="G332" i="4"/>
  <c r="G520" i="4"/>
  <c r="G75" i="4"/>
  <c r="I432" i="4"/>
  <c r="K354" i="4"/>
  <c r="M492" i="4"/>
  <c r="I407" i="4"/>
  <c r="K320" i="4"/>
  <c r="M447" i="4"/>
  <c r="I380" i="4"/>
  <c r="K288" i="4"/>
  <c r="M393" i="4"/>
  <c r="G671" i="4"/>
  <c r="G228" i="4"/>
  <c r="I246" i="4"/>
  <c r="K127" i="4"/>
  <c r="M175" i="4"/>
  <c r="Q293" i="4"/>
  <c r="G337" i="4"/>
  <c r="I123" i="4"/>
  <c r="I668" i="4"/>
  <c r="K660" i="4"/>
  <c r="O461" i="4"/>
  <c r="G445" i="4"/>
  <c r="I9" i="4"/>
  <c r="I526" i="4"/>
  <c r="K473" i="4"/>
  <c r="O30" i="4"/>
  <c r="G88" i="4"/>
  <c r="I417" i="4"/>
  <c r="K334" i="4"/>
  <c r="M463" i="4"/>
  <c r="G197" i="4"/>
  <c r="I283" i="4"/>
  <c r="K172" i="4"/>
  <c r="M232" i="4"/>
  <c r="Q427" i="4"/>
  <c r="G307" i="4"/>
  <c r="I154" i="4"/>
  <c r="K14" i="4"/>
  <c r="M21" i="4"/>
  <c r="O595" i="4"/>
  <c r="G417" i="4"/>
  <c r="I38" i="4"/>
  <c r="I564" i="4"/>
  <c r="K517" i="4"/>
  <c r="O125" i="4"/>
  <c r="I660" i="4"/>
  <c r="K573" i="4"/>
  <c r="O85" i="4"/>
  <c r="I39" i="4"/>
  <c r="I532" i="4"/>
  <c r="K408" i="4"/>
  <c r="M472" i="4"/>
  <c r="M329" i="4"/>
  <c r="Q81" i="4"/>
  <c r="O341" i="4"/>
  <c r="I303" i="4"/>
  <c r="K85" i="4"/>
  <c r="K652" i="4"/>
  <c r="O34" i="4"/>
  <c r="Q648" i="4"/>
  <c r="G330" i="4"/>
  <c r="I97" i="4"/>
  <c r="I552" i="4"/>
  <c r="K367" i="4"/>
  <c r="M323" i="4"/>
  <c r="Q73" i="4"/>
  <c r="I511" i="4"/>
  <c r="K292" i="4"/>
  <c r="M194" i="4"/>
  <c r="O416" i="4"/>
  <c r="Q157" i="4"/>
  <c r="G584" i="4"/>
  <c r="G184" i="4"/>
  <c r="I222" i="4"/>
  <c r="I622" i="4"/>
  <c r="K347" i="4"/>
  <c r="M111" i="4"/>
  <c r="M633" i="4"/>
  <c r="O637" i="4"/>
  <c r="Q671" i="4"/>
  <c r="M283" i="4"/>
  <c r="O171" i="4"/>
  <c r="Q199" i="4"/>
  <c r="I305" i="4"/>
  <c r="K13" i="4"/>
  <c r="K437" i="4"/>
  <c r="M213" i="4"/>
  <c r="O72" i="4"/>
  <c r="Q94" i="4"/>
  <c r="O42" i="4"/>
  <c r="Q62" i="4"/>
  <c r="K310" i="4"/>
  <c r="M67" i="4"/>
  <c r="M583" i="4"/>
  <c r="O573" i="4"/>
  <c r="Q604" i="4"/>
  <c r="Q136" i="4"/>
  <c r="M614" i="4"/>
  <c r="O614" i="4"/>
  <c r="Q647" i="4"/>
  <c r="O400" i="4"/>
  <c r="Q430" i="4"/>
  <c r="K315" i="4"/>
  <c r="M74" i="4"/>
  <c r="M590" i="4"/>
  <c r="O587" i="4"/>
  <c r="Q615" i="4"/>
  <c r="M69" i="4"/>
  <c r="M558" i="4"/>
  <c r="O485" i="4"/>
  <c r="Q443" i="4"/>
  <c r="O520" i="4"/>
  <c r="Q479" i="4"/>
  <c r="O269" i="4"/>
  <c r="Q127" i="4"/>
  <c r="Q681" i="4"/>
  <c r="O524" i="4"/>
  <c r="Q382" i="4"/>
  <c r="M41" i="4"/>
  <c r="M501" i="4"/>
  <c r="O334" i="4"/>
  <c r="Q193" i="4"/>
  <c r="M15" i="4"/>
  <c r="M446" i="4"/>
  <c r="O247" i="4"/>
  <c r="Q79" i="4"/>
  <c r="Q605" i="4"/>
  <c r="M616" i="4"/>
  <c r="O344" i="4"/>
  <c r="Q71" i="4"/>
  <c r="Q492" i="4"/>
  <c r="O368" i="4"/>
  <c r="Q95" i="4"/>
  <c r="Q516" i="4"/>
  <c r="O137" i="4"/>
  <c r="O558" i="4"/>
  <c r="Q285" i="4"/>
  <c r="I678" i="4"/>
  <c r="K384" i="4"/>
  <c r="M90" i="4"/>
  <c r="M495" i="4"/>
  <c r="O222" i="4"/>
  <c r="O644" i="4"/>
  <c r="Q371" i="4"/>
  <c r="M477" i="4"/>
  <c r="O183" i="4"/>
  <c r="O583" i="4"/>
  <c r="Q289" i="4"/>
  <c r="Q689" i="4"/>
  <c r="K358" i="4"/>
  <c r="G10" i="4"/>
  <c r="G680" i="4"/>
  <c r="K279" i="4"/>
  <c r="G53" i="4"/>
  <c r="Q586" i="4"/>
  <c r="K213" i="4"/>
  <c r="G95" i="4"/>
  <c r="Q346" i="4"/>
  <c r="K149" i="4"/>
  <c r="G133" i="4"/>
  <c r="Q128" i="4"/>
  <c r="K82" i="4"/>
  <c r="G170" i="4"/>
  <c r="O618" i="4"/>
  <c r="K17" i="4"/>
  <c r="G211" i="4"/>
  <c r="O419" i="4"/>
  <c r="I651" i="4"/>
  <c r="G248" i="4"/>
  <c r="O198" i="4"/>
  <c r="I588" i="4"/>
  <c r="G280" i="4"/>
  <c r="O29" i="4"/>
  <c r="I524" i="4"/>
  <c r="G314" i="4"/>
  <c r="M571" i="4"/>
  <c r="I469" i="4"/>
  <c r="G347" i="4"/>
  <c r="M452" i="4"/>
  <c r="I409" i="4"/>
  <c r="G380" i="4"/>
  <c r="M342" i="4"/>
  <c r="I348" i="4"/>
  <c r="G413" i="4"/>
  <c r="M161" i="4"/>
  <c r="I251" i="4"/>
  <c r="G479" i="4"/>
  <c r="K686" i="4"/>
  <c r="I163" i="4"/>
  <c r="G545" i="4"/>
  <c r="K521" i="4"/>
  <c r="I87" i="4"/>
  <c r="G610" i="4"/>
  <c r="K380" i="4"/>
  <c r="I3" i="4"/>
  <c r="G674" i="4"/>
  <c r="K175" i="4"/>
  <c r="G120" i="4"/>
  <c r="O399" i="4"/>
  <c r="K446" i="4"/>
  <c r="E220" i="4"/>
  <c r="G210" i="4"/>
  <c r="G360" i="4"/>
  <c r="I254" i="4"/>
  <c r="E629" i="4"/>
  <c r="E398" i="4"/>
  <c r="E558" i="4"/>
  <c r="E580" i="4"/>
  <c r="E528" i="4"/>
  <c r="E683" i="4"/>
  <c r="E617" i="4"/>
  <c r="E162" i="4"/>
  <c r="E437" i="4"/>
  <c r="E688" i="4"/>
  <c r="E59" i="4"/>
  <c r="E182" i="4"/>
  <c r="E23" i="4"/>
  <c r="E92" i="4"/>
  <c r="E319" i="4"/>
  <c r="E20" i="4"/>
  <c r="E19" i="4"/>
  <c r="E587" i="4"/>
  <c r="E98" i="4"/>
  <c r="E154" i="4"/>
  <c r="E61" i="4"/>
  <c r="E128" i="4"/>
  <c r="E191" i="4"/>
  <c r="E348" i="4"/>
  <c r="E296" i="4"/>
  <c r="E279" i="4"/>
  <c r="E667" i="4"/>
  <c r="E386" i="4"/>
  <c r="E462" i="4"/>
  <c r="E645" i="4"/>
  <c r="E543" i="4"/>
  <c r="E686" i="4"/>
  <c r="E501" i="4"/>
  <c r="E624" i="4"/>
  <c r="E133" i="4"/>
  <c r="E22" i="4"/>
  <c r="O120" i="4"/>
  <c r="I556" i="4"/>
  <c r="G297" i="4"/>
  <c r="M652" i="4"/>
  <c r="I496" i="4"/>
  <c r="G331" i="4"/>
  <c r="M512" i="4"/>
  <c r="I439" i="4"/>
  <c r="G363" i="4"/>
  <c r="G497" i="4"/>
  <c r="G52" i="4"/>
  <c r="I459" i="4"/>
  <c r="K386" i="4"/>
  <c r="M554" i="4"/>
  <c r="I433" i="4"/>
  <c r="K355" i="4"/>
  <c r="M498" i="4"/>
  <c r="I408" i="4"/>
  <c r="K321" i="4"/>
  <c r="M449" i="4"/>
  <c r="G649" i="4"/>
  <c r="G206" i="4"/>
  <c r="I274" i="4"/>
  <c r="K158" i="4"/>
  <c r="M219" i="4"/>
  <c r="Q400" i="4"/>
  <c r="G315" i="4"/>
  <c r="I146" i="4"/>
  <c r="K3" i="4"/>
  <c r="M6" i="4"/>
  <c r="O566" i="4"/>
  <c r="G422" i="4"/>
  <c r="I32" i="4"/>
  <c r="I554" i="4"/>
  <c r="K510" i="4"/>
  <c r="O119" i="4"/>
  <c r="G65" i="4"/>
  <c r="I447" i="4"/>
  <c r="K366" i="4"/>
  <c r="M529" i="4"/>
  <c r="G175" i="4"/>
  <c r="I310" i="4"/>
  <c r="K203" i="4"/>
  <c r="M275" i="4"/>
  <c r="Q528" i="4"/>
  <c r="G285" i="4"/>
  <c r="I178" i="4"/>
  <c r="K43" i="4"/>
  <c r="M68" i="4"/>
  <c r="Q14" i="4"/>
  <c r="G395" i="4"/>
  <c r="I63" i="4"/>
  <c r="I592" i="4"/>
  <c r="K557" i="4"/>
  <c r="O230" i="4"/>
  <c r="I688" i="4"/>
  <c r="K607" i="4"/>
  <c r="O162" i="4"/>
  <c r="I61" i="4"/>
  <c r="I558" i="4"/>
  <c r="K441" i="4"/>
  <c r="M527" i="4"/>
  <c r="M368" i="4"/>
  <c r="Q153" i="4"/>
  <c r="O415" i="4"/>
  <c r="I327" i="4"/>
  <c r="K110" i="4"/>
  <c r="K683" i="4"/>
  <c r="O93" i="4"/>
  <c r="Q574" i="4"/>
  <c r="G309" i="4"/>
  <c r="I118" i="4"/>
  <c r="I575" i="4"/>
  <c r="K397" i="4"/>
  <c r="M362" i="4"/>
  <c r="Q147" i="4"/>
  <c r="I533" i="4"/>
  <c r="K318" i="4"/>
  <c r="M226" i="4"/>
  <c r="O484" i="4"/>
  <c r="Q194" i="4"/>
  <c r="G564" i="4"/>
  <c r="G164" i="4"/>
  <c r="I242" i="4"/>
  <c r="I642" i="4"/>
  <c r="K368" i="4"/>
  <c r="M135" i="4"/>
  <c r="M666" i="4"/>
  <c r="O674" i="4"/>
  <c r="K523" i="4"/>
  <c r="M309" i="4"/>
  <c r="O207" i="4"/>
  <c r="Q234" i="4"/>
  <c r="I325" i="4"/>
  <c r="K34" i="4"/>
  <c r="K459" i="4"/>
  <c r="M237" i="4"/>
  <c r="O104" i="4"/>
  <c r="Q131" i="4"/>
  <c r="O73" i="4"/>
  <c r="Q98" i="4"/>
  <c r="K331" i="4"/>
  <c r="M92" i="4"/>
  <c r="M612" i="4"/>
  <c r="O611" i="4"/>
  <c r="Q645" i="4"/>
  <c r="Q172" i="4"/>
  <c r="M647" i="4"/>
  <c r="O652" i="4"/>
  <c r="Q684" i="4"/>
  <c r="O438" i="4"/>
  <c r="Q466" i="4"/>
  <c r="K336" i="4"/>
  <c r="M98" i="4"/>
  <c r="M620" i="4"/>
  <c r="O624" i="4"/>
  <c r="Q651" i="4"/>
  <c r="M93" i="4"/>
  <c r="M584" i="4"/>
  <c r="O518" i="4"/>
  <c r="Q478" i="4"/>
  <c r="O551" i="4"/>
  <c r="Q508" i="4"/>
  <c r="O295" i="4"/>
  <c r="Q154" i="4"/>
  <c r="O5" i="4"/>
  <c r="O550" i="4"/>
  <c r="Q410" i="4"/>
  <c r="M63" i="4"/>
  <c r="M525" i="4"/>
  <c r="O360" i="4"/>
  <c r="Q220" i="4"/>
  <c r="M36" i="4"/>
  <c r="M470" i="4"/>
  <c r="O272" i="4"/>
  <c r="Q104" i="4"/>
  <c r="Q631" i="4"/>
  <c r="M638" i="4"/>
  <c r="O365" i="4"/>
  <c r="Q92" i="4"/>
  <c r="Q513" i="4"/>
  <c r="O389" i="4"/>
  <c r="Q116" i="4"/>
  <c r="Q537" i="4"/>
  <c r="O158" i="4"/>
  <c r="O579" i="4"/>
  <c r="Q306" i="4"/>
  <c r="K4" i="4"/>
  <c r="K404" i="4"/>
  <c r="M110" i="4"/>
  <c r="M516" i="4"/>
  <c r="O244" i="4"/>
  <c r="O665" i="4"/>
  <c r="Q392" i="4"/>
  <c r="M497" i="4"/>
  <c r="O203" i="4"/>
  <c r="O603" i="4"/>
  <c r="Q309" i="4"/>
  <c r="Q676" i="4"/>
  <c r="K290" i="4"/>
  <c r="G51" i="4"/>
  <c r="Q587" i="4"/>
  <c r="K216" i="4"/>
  <c r="G92" i="4"/>
  <c r="Q358" i="4"/>
  <c r="K150" i="4"/>
  <c r="G128" i="4"/>
  <c r="Q142" i="4"/>
  <c r="K86" i="4"/>
  <c r="G169" i="4"/>
  <c r="O626" i="4"/>
  <c r="K18" i="4"/>
  <c r="G209" i="4"/>
  <c r="O437" i="4"/>
  <c r="I652" i="4"/>
  <c r="G247" i="4"/>
  <c r="O231" i="4"/>
  <c r="I593" i="4"/>
  <c r="G279" i="4"/>
  <c r="O39" i="4"/>
  <c r="I527" i="4"/>
  <c r="G313" i="4"/>
  <c r="M575" i="4"/>
  <c r="I470" i="4"/>
  <c r="G346" i="4"/>
  <c r="M459" i="4"/>
  <c r="I413" i="4"/>
  <c r="G379" i="4"/>
  <c r="M348" i="4"/>
  <c r="I354" i="4"/>
  <c r="G412" i="4"/>
  <c r="M248" i="4"/>
  <c r="I297" i="4"/>
  <c r="G446" i="4"/>
  <c r="M77" i="4"/>
  <c r="I210" i="4"/>
  <c r="G510" i="4"/>
  <c r="K601" i="4"/>
  <c r="I124" i="4"/>
  <c r="G575" i="4"/>
  <c r="K450" i="4"/>
  <c r="I45" i="4"/>
  <c r="G640" i="4"/>
  <c r="K307" i="4"/>
  <c r="G42" i="4"/>
  <c r="Q440" i="4"/>
  <c r="K112" i="4"/>
  <c r="G157" i="4"/>
  <c r="M314" i="4"/>
  <c r="M660" i="4"/>
  <c r="E554" i="4"/>
  <c r="E106" i="4"/>
  <c r="E77" i="4"/>
  <c r="E360" i="4"/>
  <c r="G653" i="4"/>
  <c r="Q167" i="4"/>
  <c r="M189" i="4"/>
  <c r="E405" i="4"/>
  <c r="E514" i="4"/>
  <c r="E675" i="4"/>
  <c r="E540" i="4"/>
  <c r="E324" i="4"/>
  <c r="E453" i="4"/>
  <c r="E678" i="4"/>
  <c r="E156" i="4"/>
  <c r="E469" i="4"/>
  <c r="E636" i="4"/>
  <c r="E235" i="4"/>
  <c r="E51" i="4"/>
  <c r="E159" i="4"/>
  <c r="E309" i="4"/>
  <c r="E91" i="4"/>
  <c r="E230" i="4"/>
  <c r="E124" i="4"/>
  <c r="E160" i="4"/>
  <c r="E205" i="4"/>
  <c r="E18" i="4"/>
  <c r="E317" i="4"/>
  <c r="E291" i="4"/>
  <c r="E487" i="4"/>
  <c r="E427" i="4"/>
  <c r="E482" i="4"/>
  <c r="E685" i="4"/>
  <c r="E563" i="4"/>
  <c r="E412" i="4"/>
  <c r="E521" i="4"/>
  <c r="E644" i="4"/>
  <c r="E60" i="4"/>
  <c r="E245" i="4"/>
  <c r="M654" i="4"/>
  <c r="I498" i="4"/>
  <c r="G327" i="4"/>
  <c r="M513" i="4"/>
  <c r="I440" i="4"/>
  <c r="G362" i="4"/>
  <c r="M404" i="4"/>
  <c r="I386" i="4"/>
  <c r="G394" i="4"/>
  <c r="G475" i="4"/>
  <c r="G29" i="4"/>
  <c r="I487" i="4"/>
  <c r="K421" i="4"/>
  <c r="M624" i="4"/>
  <c r="I460" i="4"/>
  <c r="K387" i="4"/>
  <c r="M556" i="4"/>
  <c r="I434" i="4"/>
  <c r="K356" i="4"/>
  <c r="M500" i="4"/>
  <c r="G627" i="4"/>
  <c r="G183" i="4"/>
  <c r="I300" i="4"/>
  <c r="K192" i="4"/>
  <c r="M263" i="4"/>
  <c r="Q503" i="4"/>
  <c r="G293" i="4"/>
  <c r="I170" i="4"/>
  <c r="K35" i="4"/>
  <c r="M51" i="4"/>
  <c r="O666" i="4"/>
  <c r="G400" i="4"/>
  <c r="I56" i="4"/>
  <c r="I587" i="4"/>
  <c r="K549" i="4"/>
  <c r="O195" i="4"/>
  <c r="G41" i="4"/>
  <c r="I473" i="4"/>
  <c r="K403" i="4"/>
  <c r="M591" i="4"/>
  <c r="G153" i="4"/>
  <c r="I337" i="4"/>
  <c r="K235" i="4"/>
  <c r="M318" i="4"/>
  <c r="Q657" i="4"/>
  <c r="G262" i="4"/>
  <c r="I206" i="4"/>
  <c r="K74" i="4"/>
  <c r="M106" i="4"/>
  <c r="Q115" i="4"/>
  <c r="G373" i="4"/>
  <c r="I86" i="4"/>
  <c r="I619" i="4"/>
  <c r="K595" i="4"/>
  <c r="O311" i="4"/>
  <c r="K21" i="4"/>
  <c r="K643" i="4"/>
  <c r="O235" i="4"/>
  <c r="I84" i="4"/>
  <c r="I586" i="4"/>
  <c r="K472" i="4"/>
  <c r="M582" i="4"/>
  <c r="M405" i="4"/>
  <c r="Q231" i="4"/>
  <c r="O487" i="4"/>
  <c r="I350" i="4"/>
  <c r="K135" i="4"/>
  <c r="M26" i="4"/>
  <c r="O152" i="4"/>
  <c r="Q653" i="4"/>
  <c r="G288" i="4"/>
  <c r="I139" i="4"/>
  <c r="I598" i="4"/>
  <c r="K427" i="4"/>
  <c r="M399" i="4"/>
  <c r="Q226" i="4"/>
  <c r="I555" i="4"/>
  <c r="K343" i="4"/>
  <c r="M257" i="4"/>
  <c r="O555" i="4"/>
  <c r="Q230" i="4"/>
  <c r="G544" i="4"/>
  <c r="G144" i="4"/>
  <c r="I262" i="4"/>
  <c r="I662" i="4"/>
  <c r="K389" i="4"/>
  <c r="M159" i="4"/>
  <c r="M695" i="4"/>
  <c r="Q16" i="4"/>
  <c r="K546" i="4"/>
  <c r="M336" i="4"/>
  <c r="O240" i="4"/>
  <c r="Q272" i="4"/>
  <c r="I345" i="4"/>
  <c r="K55" i="4"/>
  <c r="K481" i="4"/>
  <c r="M261" i="4"/>
  <c r="O139" i="4"/>
  <c r="Q168" i="4"/>
  <c r="O106" i="4"/>
  <c r="Q132" i="4"/>
  <c r="K352" i="4"/>
  <c r="M117" i="4"/>
  <c r="M645" i="4"/>
  <c r="O648" i="4"/>
  <c r="Q679" i="4"/>
  <c r="Q207" i="4"/>
  <c r="M675" i="4"/>
  <c r="O689" i="4"/>
  <c r="M507" i="4"/>
  <c r="O476" i="4"/>
  <c r="Q504" i="4"/>
  <c r="K357" i="4"/>
  <c r="M123" i="4"/>
  <c r="M650" i="4"/>
  <c r="O656" i="4"/>
  <c r="Q692" i="4"/>
  <c r="M116" i="4"/>
  <c r="M610" i="4"/>
  <c r="O549" i="4"/>
  <c r="Q507" i="4"/>
  <c r="O586" i="4"/>
  <c r="Q542" i="4"/>
  <c r="O321" i="4"/>
  <c r="Q185" i="4"/>
  <c r="O31" i="4"/>
  <c r="O577" i="4"/>
  <c r="Q439" i="4"/>
  <c r="M85" i="4"/>
  <c r="M549" i="4"/>
  <c r="O388" i="4"/>
  <c r="Q250" i="4"/>
  <c r="M57" i="4"/>
  <c r="M493" i="4"/>
  <c r="O297" i="4"/>
  <c r="Q130" i="4"/>
  <c r="Q656" i="4"/>
  <c r="M659" i="4"/>
  <c r="O386" i="4"/>
  <c r="Q113" i="4"/>
  <c r="Q534" i="4"/>
  <c r="O410" i="4"/>
  <c r="Q137" i="4"/>
  <c r="Q558" i="4"/>
  <c r="O179" i="4"/>
  <c r="O600" i="4"/>
  <c r="Q327" i="4"/>
  <c r="K24" i="4"/>
  <c r="K424" i="4"/>
  <c r="M130" i="4"/>
  <c r="M538" i="4"/>
  <c r="O265" i="4"/>
  <c r="O686" i="4"/>
  <c r="Q413" i="4"/>
  <c r="M517" i="4"/>
  <c r="O223" i="4"/>
  <c r="O623" i="4"/>
  <c r="Q329" i="4"/>
  <c r="Q696" i="4"/>
  <c r="K221" i="4"/>
  <c r="G91" i="4"/>
  <c r="Q363" i="4"/>
  <c r="K151" i="4"/>
  <c r="G127" i="4"/>
  <c r="Q146" i="4"/>
  <c r="K87" i="4"/>
  <c r="G168" i="4"/>
  <c r="O630" i="4"/>
  <c r="K20" i="4"/>
  <c r="G208" i="4"/>
  <c r="O441" i="4"/>
  <c r="I653" i="4"/>
  <c r="G243" i="4"/>
  <c r="O232" i="4"/>
  <c r="I594" i="4"/>
  <c r="G278" i="4"/>
  <c r="O57" i="4"/>
  <c r="I536" i="4"/>
  <c r="G311" i="4"/>
  <c r="M588" i="4"/>
  <c r="I472" i="4"/>
  <c r="G345" i="4"/>
  <c r="M460" i="4"/>
  <c r="I414" i="4"/>
  <c r="G377" i="4"/>
  <c r="M353" i="4"/>
  <c r="I358" i="4"/>
  <c r="G411" i="4"/>
  <c r="M260" i="4"/>
  <c r="I299" i="4"/>
  <c r="G443" i="4"/>
  <c r="M167" i="4"/>
  <c r="I253" i="4"/>
  <c r="G478" i="4"/>
  <c r="K689" i="4"/>
  <c r="I165" i="4"/>
  <c r="G543" i="4"/>
  <c r="K527" i="4"/>
  <c r="I88" i="4"/>
  <c r="G608" i="4"/>
  <c r="K381" i="4"/>
  <c r="I4" i="4"/>
  <c r="G673" i="4"/>
  <c r="K242" i="4"/>
  <c r="G80" i="4"/>
  <c r="Q228" i="4"/>
  <c r="K46" i="4"/>
  <c r="G192" i="4"/>
  <c r="I368" i="4"/>
  <c r="E468" i="4"/>
  <c r="E80" i="4"/>
  <c r="E381" i="4"/>
  <c r="E297" i="4"/>
  <c r="I268" i="4"/>
  <c r="I637" i="4"/>
  <c r="I130" i="4"/>
  <c r="E500" i="4"/>
  <c r="E415" i="4"/>
  <c r="E370" i="4"/>
  <c r="E695" i="4"/>
  <c r="E434" i="4"/>
  <c r="E456" i="4"/>
  <c r="E668" i="4"/>
  <c r="E658" i="4"/>
  <c r="E361" i="4"/>
  <c r="E494" i="4"/>
  <c r="E197" i="4"/>
  <c r="E373" i="4"/>
  <c r="E640" i="4"/>
  <c r="E470" i="4"/>
  <c r="E376" i="4"/>
  <c r="E448" i="4"/>
  <c r="E189" i="4"/>
  <c r="E294" i="4"/>
  <c r="E151" i="4"/>
  <c r="E63" i="4"/>
  <c r="E84" i="4"/>
  <c r="E240" i="4"/>
  <c r="E199" i="4"/>
  <c r="E407" i="4"/>
  <c r="E214" i="4"/>
  <c r="E21" i="4"/>
  <c r="E363" i="4"/>
  <c r="E353" i="4"/>
  <c r="E387" i="4"/>
  <c r="E399" i="4"/>
  <c r="E502" i="4"/>
  <c r="E411" i="4"/>
  <c r="E583" i="4"/>
  <c r="E432" i="4"/>
  <c r="E541" i="4"/>
  <c r="E664" i="4"/>
  <c r="E37" i="4"/>
  <c r="E134" i="4"/>
  <c r="M519" i="4"/>
  <c r="I446" i="4"/>
  <c r="G361" i="4"/>
  <c r="M408" i="4"/>
  <c r="I387" i="4"/>
  <c r="G392" i="4"/>
  <c r="M306" i="4"/>
  <c r="I331" i="4"/>
  <c r="G428" i="4"/>
  <c r="G453" i="4"/>
  <c r="G6" i="4"/>
  <c r="I516" i="4"/>
  <c r="K458" i="4"/>
  <c r="M691" i="4"/>
  <c r="I488" i="4"/>
  <c r="K423" i="4"/>
  <c r="M627" i="4"/>
  <c r="I461" i="4"/>
  <c r="K388" i="4"/>
  <c r="M561" i="4"/>
  <c r="G605" i="4"/>
  <c r="G160" i="4"/>
  <c r="I329" i="4"/>
  <c r="K226" i="4"/>
  <c r="M303" i="4"/>
  <c r="Q613" i="4"/>
  <c r="G271" i="4"/>
  <c r="I195" i="4"/>
  <c r="K65" i="4"/>
  <c r="M91" i="4"/>
  <c r="Q77" i="4"/>
  <c r="G378" i="4"/>
  <c r="I79" i="4"/>
  <c r="I614" i="4"/>
  <c r="K585" i="4"/>
  <c r="O299" i="4"/>
  <c r="G18" i="4"/>
  <c r="I499" i="4"/>
  <c r="K442" i="4"/>
  <c r="M655" i="4"/>
  <c r="G131" i="4"/>
  <c r="I364" i="4"/>
  <c r="K270" i="4"/>
  <c r="M367" i="4"/>
  <c r="G683" i="4"/>
  <c r="G240" i="4"/>
  <c r="I231" i="4"/>
  <c r="K109" i="4"/>
  <c r="M149" i="4"/>
  <c r="Q225" i="4"/>
  <c r="G350" i="4"/>
  <c r="I109" i="4"/>
  <c r="I650" i="4"/>
  <c r="K633" i="4"/>
  <c r="O408" i="4"/>
  <c r="K48" i="4"/>
  <c r="K678" i="4"/>
  <c r="O330" i="4"/>
  <c r="I106" i="4"/>
  <c r="I611" i="4"/>
  <c r="K505" i="4"/>
  <c r="M646" i="4"/>
  <c r="M442" i="4"/>
  <c r="Q304" i="4"/>
  <c r="O560" i="4"/>
  <c r="I373" i="4"/>
  <c r="K162" i="4"/>
  <c r="M58" i="4"/>
  <c r="O226" i="4"/>
  <c r="G688" i="4"/>
  <c r="G267" i="4"/>
  <c r="I160" i="4"/>
  <c r="I623" i="4"/>
  <c r="K454" i="4"/>
  <c r="M436" i="4"/>
  <c r="Q297" i="4"/>
  <c r="I577" i="4"/>
  <c r="K370" i="4"/>
  <c r="M293" i="4"/>
  <c r="O625" i="4"/>
  <c r="Q266" i="4"/>
  <c r="G524" i="4"/>
  <c r="G124" i="4"/>
  <c r="I282" i="4"/>
  <c r="I683" i="4"/>
  <c r="K411" i="4"/>
  <c r="M184" i="4"/>
  <c r="O35" i="4"/>
  <c r="Q58" i="4"/>
  <c r="K568" i="4"/>
  <c r="M361" i="4"/>
  <c r="O278" i="4"/>
  <c r="Q310" i="4"/>
  <c r="I365" i="4"/>
  <c r="K76" i="4"/>
  <c r="K503" i="4"/>
  <c r="M286" i="4"/>
  <c r="O173" i="4"/>
  <c r="Q204" i="4"/>
  <c r="O142" i="4"/>
  <c r="Q170" i="4"/>
  <c r="K373" i="4"/>
  <c r="M142" i="4"/>
  <c r="M673" i="4"/>
  <c r="O687" i="4"/>
  <c r="O213" i="4"/>
  <c r="Q245" i="4"/>
  <c r="O15" i="4"/>
  <c r="Q31" i="4"/>
  <c r="M534" i="4"/>
  <c r="O509" i="4"/>
  <c r="Q540" i="4"/>
  <c r="K378" i="4"/>
  <c r="M147" i="4"/>
  <c r="M681" i="4"/>
  <c r="O695" i="4"/>
  <c r="K393" i="4"/>
  <c r="M139" i="4"/>
  <c r="M640" i="4"/>
  <c r="O585" i="4"/>
  <c r="Q541" i="4"/>
  <c r="O616" i="4"/>
  <c r="Q573" i="4"/>
  <c r="O353" i="4"/>
  <c r="Q212" i="4"/>
  <c r="O58" i="4"/>
  <c r="O607" i="4"/>
  <c r="Q465" i="4"/>
  <c r="M107" i="4"/>
  <c r="M573" i="4"/>
  <c r="O417" i="4"/>
  <c r="Q276" i="4"/>
  <c r="M78" i="4"/>
  <c r="M518" i="4"/>
  <c r="O324" i="4"/>
  <c r="Q156" i="4"/>
  <c r="Q683" i="4"/>
  <c r="M680" i="4"/>
  <c r="O407" i="4"/>
  <c r="Q134" i="4"/>
  <c r="Q555" i="4"/>
  <c r="O431" i="4"/>
  <c r="Q158" i="4"/>
  <c r="Q579" i="4"/>
  <c r="O200" i="4"/>
  <c r="O621" i="4"/>
  <c r="Q348" i="4"/>
  <c r="K44" i="4"/>
  <c r="K444" i="4"/>
  <c r="M150" i="4"/>
  <c r="M559" i="4"/>
  <c r="O286" i="4"/>
  <c r="Q13" i="4"/>
  <c r="Q434" i="4"/>
  <c r="M537" i="4"/>
  <c r="O243" i="4"/>
  <c r="O643" i="4"/>
  <c r="Q349" i="4"/>
  <c r="Q399" i="4"/>
  <c r="K156" i="4"/>
  <c r="G126" i="4"/>
  <c r="Q151" i="4"/>
  <c r="K88" i="4"/>
  <c r="G167" i="4"/>
  <c r="O631" i="4"/>
  <c r="K23" i="4"/>
  <c r="G207" i="4"/>
  <c r="O442" i="4"/>
  <c r="I655" i="4"/>
  <c r="G242" i="4"/>
  <c r="O233" i="4"/>
  <c r="I595" i="4"/>
  <c r="G277" i="4"/>
  <c r="O59" i="4"/>
  <c r="I538" i="4"/>
  <c r="G310" i="4"/>
  <c r="M598" i="4"/>
  <c r="I477" i="4"/>
  <c r="G343" i="4"/>
  <c r="M462" i="4"/>
  <c r="I416" i="4"/>
  <c r="G376" i="4"/>
  <c r="M356" i="4"/>
  <c r="I359" i="4"/>
  <c r="G410" i="4"/>
  <c r="M266" i="4"/>
  <c r="I304" i="4"/>
  <c r="G442" i="4"/>
  <c r="M173" i="4"/>
  <c r="I259" i="4"/>
  <c r="G476" i="4"/>
  <c r="M79" i="4"/>
  <c r="I211" i="4"/>
  <c r="G509" i="4"/>
  <c r="K602" i="4"/>
  <c r="I125" i="4"/>
  <c r="G574" i="4"/>
  <c r="K451" i="4"/>
  <c r="I46" i="4"/>
  <c r="G637" i="4"/>
  <c r="K309" i="4"/>
  <c r="G37" i="4"/>
  <c r="Q441" i="4"/>
  <c r="K176" i="4"/>
  <c r="G118" i="4"/>
  <c r="Q35" i="4"/>
  <c r="I680" i="4"/>
  <c r="G231" i="4"/>
  <c r="I107" i="4"/>
  <c r="I501" i="4"/>
  <c r="E653" i="4"/>
  <c r="E237" i="4"/>
  <c r="E389" i="4"/>
  <c r="E631" i="4"/>
  <c r="G83" i="4"/>
  <c r="K122" i="4"/>
  <c r="G134" i="4"/>
  <c r="E655" i="4"/>
  <c r="E548" i="4"/>
  <c r="E440" i="4"/>
  <c r="E594" i="4"/>
  <c r="E649" i="4"/>
  <c r="E357" i="4"/>
  <c r="E465" i="4"/>
  <c r="E87" i="4"/>
  <c r="E368" i="4"/>
  <c r="E556" i="4"/>
  <c r="E327" i="4"/>
  <c r="E366" i="4"/>
  <c r="E303" i="4"/>
  <c r="E176" i="4"/>
  <c r="E193" i="4"/>
  <c r="E99" i="4"/>
  <c r="E40" i="4"/>
  <c r="E54" i="4"/>
  <c r="E364" i="4"/>
  <c r="E260" i="4"/>
  <c r="E450" i="4"/>
  <c r="E223" i="4"/>
  <c r="E45" i="4"/>
  <c r="E410" i="4"/>
  <c r="E379" i="4"/>
  <c r="E331" i="4"/>
  <c r="E419" i="4"/>
  <c r="E522" i="4"/>
  <c r="E431" i="4"/>
  <c r="E603" i="4"/>
  <c r="E452" i="4"/>
  <c r="E561" i="4"/>
  <c r="E684" i="4"/>
  <c r="E9" i="4"/>
  <c r="E74" i="4"/>
  <c r="M412" i="4"/>
  <c r="I390" i="4"/>
  <c r="G391" i="4"/>
  <c r="M312" i="4"/>
  <c r="I332" i="4"/>
  <c r="G425" i="4"/>
  <c r="M223" i="4"/>
  <c r="I280" i="4"/>
  <c r="G458" i="4"/>
  <c r="G431" i="4"/>
  <c r="I24" i="4"/>
  <c r="I544" i="4"/>
  <c r="K493" i="4"/>
  <c r="O71" i="4"/>
  <c r="I517" i="4"/>
  <c r="K460" i="4"/>
  <c r="M692" i="4"/>
  <c r="I490" i="4"/>
  <c r="K425" i="4"/>
  <c r="M628" i="4"/>
  <c r="G581" i="4"/>
  <c r="G138" i="4"/>
  <c r="I356" i="4"/>
  <c r="K256" i="4"/>
  <c r="M349" i="4"/>
  <c r="G692" i="4"/>
  <c r="G249" i="4"/>
  <c r="I220" i="4"/>
  <c r="K96" i="4"/>
  <c r="M133" i="4"/>
  <c r="Q191" i="4"/>
  <c r="G356" i="4"/>
  <c r="I103" i="4"/>
  <c r="I641" i="4"/>
  <c r="K625" i="4"/>
  <c r="O380" i="4"/>
  <c r="I11" i="4"/>
  <c r="I528" i="4"/>
  <c r="K475" i="4"/>
  <c r="O45" i="4"/>
  <c r="G109" i="4"/>
  <c r="I392" i="4"/>
  <c r="K301" i="4"/>
  <c r="M418" i="4"/>
  <c r="G661" i="4"/>
  <c r="G218" i="4"/>
  <c r="I257" i="4"/>
  <c r="K142" i="4"/>
  <c r="M193" i="4"/>
  <c r="Q334" i="4"/>
  <c r="G328" i="4"/>
  <c r="I132" i="4"/>
  <c r="I679" i="4"/>
  <c r="K675" i="4"/>
  <c r="O514" i="4"/>
  <c r="K78" i="4"/>
  <c r="M24" i="4"/>
  <c r="O409" i="4"/>
  <c r="I128" i="4"/>
  <c r="I636" i="4"/>
  <c r="K538" i="4"/>
  <c r="O16" i="4"/>
  <c r="M483" i="4"/>
  <c r="Q383" i="4"/>
  <c r="O628" i="4"/>
  <c r="I396" i="4"/>
  <c r="K188" i="4"/>
  <c r="M95" i="4"/>
  <c r="O296" i="4"/>
  <c r="G667" i="4"/>
  <c r="G246" i="4"/>
  <c r="I181" i="4"/>
  <c r="I647" i="4"/>
  <c r="K486" i="4"/>
  <c r="M478" i="4"/>
  <c r="Q373" i="4"/>
  <c r="I599" i="4"/>
  <c r="K398" i="4"/>
  <c r="M324" i="4"/>
  <c r="O696" i="4"/>
  <c r="Q300" i="4"/>
  <c r="G504" i="4"/>
  <c r="G104" i="4"/>
  <c r="I302" i="4"/>
  <c r="K10" i="4"/>
  <c r="K433" i="4"/>
  <c r="M208" i="4"/>
  <c r="O68" i="4"/>
  <c r="Q90" i="4"/>
  <c r="K590" i="4"/>
  <c r="M387" i="4"/>
  <c r="O314" i="4"/>
  <c r="Q342" i="4"/>
  <c r="I385" i="4"/>
  <c r="K97" i="4"/>
  <c r="K526" i="4"/>
  <c r="M313" i="4"/>
  <c r="O209" i="4"/>
  <c r="Q237" i="4"/>
  <c r="O174" i="4"/>
  <c r="Q205" i="4"/>
  <c r="K395" i="4"/>
  <c r="M166" i="4"/>
  <c r="O13" i="4"/>
  <c r="Q27" i="4"/>
  <c r="O252" i="4"/>
  <c r="Q282" i="4"/>
  <c r="O46" i="4"/>
  <c r="Q65" i="4"/>
  <c r="M562" i="4"/>
  <c r="O545" i="4"/>
  <c r="Q578" i="4"/>
  <c r="K400" i="4"/>
  <c r="M172" i="4"/>
  <c r="O19" i="4"/>
  <c r="Q37" i="4"/>
  <c r="K414" i="4"/>
  <c r="M163" i="4"/>
  <c r="M670" i="4"/>
  <c r="O615" i="4"/>
  <c r="Q572" i="4"/>
  <c r="O650" i="4"/>
  <c r="Q608" i="4"/>
  <c r="O379" i="4"/>
  <c r="Q238" i="4"/>
  <c r="O84" i="4"/>
  <c r="O633" i="4"/>
  <c r="Q493" i="4"/>
  <c r="M129" i="4"/>
  <c r="M599" i="4"/>
  <c r="O444" i="4"/>
  <c r="Q303" i="4"/>
  <c r="M99" i="4"/>
  <c r="M541" i="4"/>
  <c r="O352" i="4"/>
  <c r="Q184" i="4"/>
  <c r="Q693" i="4"/>
  <c r="O7" i="4"/>
  <c r="O428" i="4"/>
  <c r="Q155" i="4"/>
  <c r="Q576" i="4"/>
  <c r="O452" i="4"/>
  <c r="Q179" i="4"/>
  <c r="Q600" i="4"/>
  <c r="O221" i="4"/>
  <c r="O642" i="4"/>
  <c r="Q370" i="4"/>
  <c r="K64" i="4"/>
  <c r="K464" i="4"/>
  <c r="M170" i="4"/>
  <c r="M580" i="4"/>
  <c r="O307" i="4"/>
  <c r="Q34" i="4"/>
  <c r="Q455" i="4"/>
  <c r="M557" i="4"/>
  <c r="O263" i="4"/>
  <c r="O663" i="4"/>
  <c r="Q369" i="4"/>
  <c r="Q178" i="4"/>
  <c r="K93" i="4"/>
  <c r="G165" i="4"/>
  <c r="O635" i="4"/>
  <c r="K26" i="4"/>
  <c r="G202" i="4"/>
  <c r="O445" i="4"/>
  <c r="I656" i="4"/>
  <c r="G238" i="4"/>
  <c r="O234" i="4"/>
  <c r="I596" i="4"/>
  <c r="G275" i="4"/>
  <c r="O60" i="4"/>
  <c r="I539" i="4"/>
  <c r="G308" i="4"/>
  <c r="M602" i="4"/>
  <c r="I478" i="4"/>
  <c r="G341" i="4"/>
  <c r="M480" i="4"/>
  <c r="I424" i="4"/>
  <c r="G375" i="4"/>
  <c r="M358" i="4"/>
  <c r="I361" i="4"/>
  <c r="G408" i="4"/>
  <c r="M269" i="4"/>
  <c r="I306" i="4"/>
  <c r="G441" i="4"/>
  <c r="M179" i="4"/>
  <c r="I260" i="4"/>
  <c r="G474" i="4"/>
  <c r="M84" i="4"/>
  <c r="I213" i="4"/>
  <c r="G508" i="4"/>
  <c r="K690" i="4"/>
  <c r="I166" i="4"/>
  <c r="G541" i="4"/>
  <c r="K529" i="4"/>
  <c r="I89" i="4"/>
  <c r="G607" i="4"/>
  <c r="K382" i="4"/>
  <c r="I7" i="4"/>
  <c r="G672" i="4"/>
  <c r="K243" i="4"/>
  <c r="G79" i="4"/>
  <c r="Q236" i="4"/>
  <c r="K113" i="4"/>
  <c r="G155" i="4"/>
  <c r="O521" i="4"/>
  <c r="I620" i="4"/>
  <c r="G263" i="4"/>
  <c r="E633" i="4"/>
  <c r="E367" i="4"/>
  <c r="E358" i="4"/>
  <c r="E304" i="4"/>
  <c r="E203" i="4"/>
  <c r="E146" i="4"/>
  <c r="E130" i="4"/>
  <c r="E85" i="4"/>
  <c r="E73" i="4"/>
  <c r="E32" i="4"/>
  <c r="E447" i="4"/>
  <c r="E320" i="4"/>
  <c r="E610" i="4"/>
  <c r="E305" i="4"/>
  <c r="E90" i="4"/>
  <c r="E42" i="4"/>
  <c r="E490" i="4"/>
  <c r="E393" i="4"/>
  <c r="E439" i="4"/>
  <c r="E542" i="4"/>
  <c r="E451" i="4"/>
  <c r="E623" i="4"/>
  <c r="E472" i="4"/>
  <c r="E581" i="4"/>
  <c r="E654" i="4"/>
  <c r="E690" i="4"/>
  <c r="E312" i="4"/>
  <c r="M316" i="4"/>
  <c r="I335" i="4"/>
  <c r="G423" i="4"/>
  <c r="M224" i="4"/>
  <c r="I287" i="4"/>
  <c r="G457" i="4"/>
  <c r="M134" i="4"/>
  <c r="I237" i="4"/>
  <c r="G490" i="4"/>
  <c r="G409" i="4"/>
  <c r="I47" i="4"/>
  <c r="I572" i="4"/>
  <c r="K531" i="4"/>
  <c r="O166" i="4"/>
  <c r="I546" i="4"/>
  <c r="K495" i="4"/>
  <c r="O80" i="4"/>
  <c r="I518" i="4"/>
  <c r="K462" i="4"/>
  <c r="M693" i="4"/>
  <c r="G559" i="4"/>
  <c r="G116" i="4"/>
  <c r="I383" i="4"/>
  <c r="K291" i="4"/>
  <c r="M396" i="4"/>
  <c r="G670" i="4"/>
  <c r="G227" i="4"/>
  <c r="I248" i="4"/>
  <c r="K129" i="4"/>
  <c r="M176" i="4"/>
  <c r="Q294" i="4"/>
  <c r="G334" i="4"/>
  <c r="I126" i="4"/>
  <c r="I672" i="4"/>
  <c r="K666" i="4"/>
  <c r="O480" i="4"/>
  <c r="I35" i="4"/>
  <c r="I559" i="4"/>
  <c r="K513" i="4"/>
  <c r="O121" i="4"/>
  <c r="G87" i="4"/>
  <c r="I418" i="4"/>
  <c r="K335" i="4"/>
  <c r="M464" i="4"/>
  <c r="G639" i="4"/>
  <c r="G196" i="4"/>
  <c r="I284" i="4"/>
  <c r="K173" i="4"/>
  <c r="M236" i="4"/>
  <c r="Q437" i="4"/>
  <c r="G306" i="4"/>
  <c r="I155" i="4"/>
  <c r="K15" i="4"/>
  <c r="M22" i="4"/>
  <c r="O597" i="4"/>
  <c r="K107" i="4"/>
  <c r="M64" i="4"/>
  <c r="O507" i="4"/>
  <c r="I150" i="4"/>
  <c r="I661" i="4"/>
  <c r="K574" i="4"/>
  <c r="O89" i="4"/>
  <c r="M521" i="4"/>
  <c r="Q464" i="4"/>
  <c r="Q6" i="4"/>
  <c r="I419" i="4"/>
  <c r="K214" i="4"/>
  <c r="M128" i="4"/>
  <c r="O364" i="4"/>
  <c r="G646" i="4"/>
  <c r="G225" i="4"/>
  <c r="I204" i="4"/>
  <c r="I670" i="4"/>
  <c r="K514" i="4"/>
  <c r="M515" i="4"/>
  <c r="Q448" i="4"/>
  <c r="I621" i="4"/>
  <c r="K426" i="4"/>
  <c r="M359" i="4"/>
  <c r="Q70" i="4"/>
  <c r="Q337" i="4"/>
  <c r="G484" i="4"/>
  <c r="G84" i="4"/>
  <c r="I322" i="4"/>
  <c r="K31" i="4"/>
  <c r="K455" i="4"/>
  <c r="M234" i="4"/>
  <c r="O100" i="4"/>
  <c r="Q125" i="4"/>
  <c r="K613" i="4"/>
  <c r="M414" i="4"/>
  <c r="O350" i="4"/>
  <c r="Q381" i="4"/>
  <c r="I405" i="4"/>
  <c r="K118" i="4"/>
  <c r="K548" i="4"/>
  <c r="M338" i="4"/>
  <c r="O246" i="4"/>
  <c r="Q275" i="4"/>
  <c r="O210" i="4"/>
  <c r="Q240" i="4"/>
  <c r="K417" i="4"/>
  <c r="M191" i="4"/>
  <c r="O44" i="4"/>
  <c r="Q63" i="4"/>
  <c r="O288" i="4"/>
  <c r="Q318" i="4"/>
  <c r="O78" i="4"/>
  <c r="Q102" i="4"/>
  <c r="M589" i="4"/>
  <c r="O582" i="4"/>
  <c r="Q614" i="4"/>
  <c r="K422" i="4"/>
  <c r="M197" i="4"/>
  <c r="O50" i="4"/>
  <c r="Q68" i="4"/>
  <c r="K435" i="4"/>
  <c r="M186" i="4"/>
  <c r="O4" i="4"/>
  <c r="O649" i="4"/>
  <c r="Q607" i="4"/>
  <c r="O679" i="4"/>
  <c r="Q640" i="4"/>
  <c r="O406" i="4"/>
  <c r="Q268" i="4"/>
  <c r="O109" i="4"/>
  <c r="O660" i="4"/>
  <c r="Q522" i="4"/>
  <c r="M152" i="4"/>
  <c r="M626" i="4"/>
  <c r="O471" i="4"/>
  <c r="Q333" i="4"/>
  <c r="M120" i="4"/>
  <c r="M564" i="4"/>
  <c r="O377" i="4"/>
  <c r="Q210" i="4"/>
  <c r="M305" i="4"/>
  <c r="O28" i="4"/>
  <c r="O449" i="4"/>
  <c r="Q176" i="4"/>
  <c r="Q597" i="4"/>
  <c r="O473" i="4"/>
  <c r="Q200" i="4"/>
  <c r="Q621" i="4"/>
  <c r="O242" i="4"/>
  <c r="O664" i="4"/>
  <c r="Q391" i="4"/>
  <c r="K84" i="4"/>
  <c r="K484" i="4"/>
  <c r="M190" i="4"/>
  <c r="M601" i="4"/>
  <c r="O328" i="4"/>
  <c r="Q55" i="4"/>
  <c r="Q476" i="4"/>
  <c r="M577" i="4"/>
  <c r="O283" i="4"/>
  <c r="O683" i="4"/>
  <c r="Q389" i="4"/>
  <c r="O658" i="4"/>
  <c r="K30" i="4"/>
  <c r="G201" i="4"/>
  <c r="O446" i="4"/>
  <c r="I657" i="4"/>
  <c r="G237" i="4"/>
  <c r="O245" i="4"/>
  <c r="I597" i="4"/>
  <c r="G274" i="4"/>
  <c r="O62" i="4"/>
  <c r="I540" i="4"/>
  <c r="G305" i="4"/>
  <c r="M603" i="4"/>
  <c r="I480" i="4"/>
  <c r="G340" i="4"/>
  <c r="M485" i="4"/>
  <c r="I426" i="4"/>
  <c r="G371" i="4"/>
  <c r="M373" i="4"/>
  <c r="I369" i="4"/>
  <c r="G407" i="4"/>
  <c r="M273" i="4"/>
  <c r="I308" i="4"/>
  <c r="G438" i="4"/>
  <c r="M180" i="4"/>
  <c r="I261" i="4"/>
  <c r="G473" i="4"/>
  <c r="M94" i="4"/>
  <c r="I214" i="4"/>
  <c r="G505" i="4"/>
  <c r="M4" i="4"/>
  <c r="I167" i="4"/>
  <c r="G539" i="4"/>
  <c r="K605" i="4"/>
  <c r="I127" i="4"/>
  <c r="G571" i="4"/>
  <c r="K453" i="4"/>
  <c r="I48" i="4"/>
  <c r="G636" i="4"/>
  <c r="K311" i="4"/>
  <c r="G36" i="4"/>
  <c r="Q446" i="4"/>
  <c r="K177" i="4"/>
  <c r="G117" i="4"/>
  <c r="Q38" i="4"/>
  <c r="K47" i="4"/>
  <c r="G191" i="4"/>
  <c r="O312" i="4"/>
  <c r="I566" i="4"/>
  <c r="G296" i="4"/>
  <c r="E536" i="4"/>
  <c r="E283" i="4"/>
  <c r="E652" i="4"/>
  <c r="E362" i="4"/>
  <c r="E147" i="4"/>
  <c r="E575" i="4"/>
  <c r="E475" i="4"/>
  <c r="E287" i="4"/>
  <c r="E520" i="4"/>
  <c r="E616" i="4"/>
  <c r="E635" i="4"/>
  <c r="E123" i="4"/>
  <c r="E614" i="4"/>
  <c r="E281" i="4"/>
  <c r="E322" i="4"/>
  <c r="E274" i="4"/>
  <c r="E609" i="4"/>
  <c r="E569" i="4"/>
  <c r="E127" i="4"/>
  <c r="E71" i="4"/>
  <c r="E56" i="4"/>
  <c r="E577" i="4"/>
  <c r="E17" i="4"/>
  <c r="E78" i="4"/>
  <c r="E371" i="4"/>
  <c r="E14" i="4"/>
  <c r="E383" i="4"/>
  <c r="E119" i="4"/>
  <c r="E116" i="4"/>
  <c r="E527" i="4"/>
  <c r="E570" i="4"/>
  <c r="E459" i="4"/>
  <c r="E562" i="4"/>
  <c r="E471" i="4"/>
  <c r="E643" i="4"/>
  <c r="E492" i="4"/>
  <c r="E601" i="4"/>
  <c r="E634" i="4"/>
  <c r="E340" i="4"/>
  <c r="E109" i="4"/>
  <c r="M228" i="4"/>
  <c r="I288" i="4"/>
  <c r="G455" i="4"/>
  <c r="M137" i="4"/>
  <c r="I238" i="4"/>
  <c r="G488" i="4"/>
  <c r="M52" i="4"/>
  <c r="I192" i="4"/>
  <c r="G522" i="4"/>
  <c r="G387" i="4"/>
  <c r="I70" i="4"/>
  <c r="I601" i="4"/>
  <c r="K569" i="4"/>
  <c r="O260" i="4"/>
  <c r="I573" i="4"/>
  <c r="K532" i="4"/>
  <c r="O169" i="4"/>
  <c r="I547" i="4"/>
  <c r="K496" i="4"/>
  <c r="O92" i="4"/>
  <c r="G537" i="4"/>
  <c r="G94" i="4"/>
  <c r="I410" i="4"/>
  <c r="K325" i="4"/>
  <c r="M456" i="4"/>
  <c r="G648" i="4"/>
  <c r="G205" i="4"/>
  <c r="I275" i="4"/>
  <c r="K159" i="4"/>
  <c r="M222" i="4"/>
  <c r="Q402" i="4"/>
  <c r="G312" i="4"/>
  <c r="I149" i="4"/>
  <c r="K7" i="4"/>
  <c r="M9" i="4"/>
  <c r="O589" i="4"/>
  <c r="I58" i="4"/>
  <c r="I589" i="4"/>
  <c r="K552" i="4"/>
  <c r="O202" i="4"/>
  <c r="G63" i="4"/>
  <c r="I448" i="4"/>
  <c r="K369" i="4"/>
  <c r="M536" i="4"/>
  <c r="G617" i="4"/>
  <c r="G174" i="4"/>
  <c r="I312" i="4"/>
  <c r="K205" i="4"/>
  <c r="M276" i="4"/>
  <c r="Q536" i="4"/>
  <c r="G283" i="4"/>
  <c r="I179" i="4"/>
  <c r="K45" i="4"/>
  <c r="M71" i="4"/>
  <c r="Q21" i="4"/>
  <c r="K134" i="4"/>
  <c r="M102" i="4"/>
  <c r="O591" i="4"/>
  <c r="I173" i="4"/>
  <c r="I689" i="4"/>
  <c r="K609" i="4"/>
  <c r="O165" i="4"/>
  <c r="M568" i="4"/>
  <c r="Q545" i="4"/>
  <c r="Q82" i="4"/>
  <c r="I443" i="4"/>
  <c r="K240" i="4"/>
  <c r="M165" i="4"/>
  <c r="O425" i="4"/>
  <c r="G625" i="4"/>
  <c r="G203" i="4"/>
  <c r="I227" i="4"/>
  <c r="I694" i="4"/>
  <c r="K543" i="4"/>
  <c r="M565" i="4"/>
  <c r="Q523" i="4"/>
  <c r="I644" i="4"/>
  <c r="K452" i="4"/>
  <c r="M395" i="4"/>
  <c r="Q145" i="4"/>
  <c r="Q374" i="4"/>
  <c r="G464" i="4"/>
  <c r="G64" i="4"/>
  <c r="I342" i="4"/>
  <c r="K52" i="4"/>
  <c r="K478" i="4"/>
  <c r="M258" i="4"/>
  <c r="O132" i="4"/>
  <c r="Q164" i="4"/>
  <c r="K636" i="4"/>
  <c r="M441" i="4"/>
  <c r="O385" i="4"/>
  <c r="Q419" i="4"/>
  <c r="I425" i="4"/>
  <c r="K139" i="4"/>
  <c r="K570" i="4"/>
  <c r="M363" i="4"/>
  <c r="O281" i="4"/>
  <c r="Q312" i="4"/>
  <c r="O249" i="4"/>
  <c r="Q277" i="4"/>
  <c r="K439" i="4"/>
  <c r="M215" i="4"/>
  <c r="O76" i="4"/>
  <c r="Q99" i="4"/>
  <c r="O325" i="4"/>
  <c r="Q355" i="4"/>
  <c r="O110" i="4"/>
  <c r="Q141" i="4"/>
  <c r="M619" i="4"/>
  <c r="O619" i="4"/>
  <c r="Q650" i="4"/>
  <c r="K445" i="4"/>
  <c r="M221" i="4"/>
  <c r="O82" i="4"/>
  <c r="Q107" i="4"/>
  <c r="K456" i="4"/>
  <c r="M209" i="4"/>
  <c r="O37" i="4"/>
  <c r="O678" i="4"/>
  <c r="Q638" i="4"/>
  <c r="Q20" i="4"/>
  <c r="Q674" i="4"/>
  <c r="O436" i="4"/>
  <c r="Q295" i="4"/>
  <c r="O135" i="4"/>
  <c r="O690" i="4"/>
  <c r="Q548" i="4"/>
  <c r="M174" i="4"/>
  <c r="M651" i="4"/>
  <c r="O500" i="4"/>
  <c r="Q359" i="4"/>
  <c r="M141" i="4"/>
  <c r="M587" i="4"/>
  <c r="O402" i="4"/>
  <c r="Q235" i="4"/>
  <c r="M325" i="4"/>
  <c r="O49" i="4"/>
  <c r="O470" i="4"/>
  <c r="Q197" i="4"/>
  <c r="Q618" i="4"/>
  <c r="O494" i="4"/>
  <c r="Q221" i="4"/>
  <c r="Q642" i="4"/>
  <c r="O264" i="4"/>
  <c r="O685" i="4"/>
  <c r="Q412" i="4"/>
  <c r="K104" i="4"/>
  <c r="K504" i="4"/>
  <c r="M210" i="4"/>
  <c r="M622" i="4"/>
  <c r="O349" i="4"/>
  <c r="Q76" i="4"/>
  <c r="Q497" i="4"/>
  <c r="M597" i="4"/>
  <c r="O303" i="4"/>
  <c r="Q9" i="4"/>
  <c r="Q409" i="4"/>
  <c r="O456" i="4"/>
  <c r="I664" i="4"/>
  <c r="G236" i="4"/>
  <c r="O254" i="4"/>
  <c r="I600" i="4"/>
  <c r="G273" i="4"/>
  <c r="O64" i="4"/>
  <c r="I541" i="4"/>
  <c r="G303" i="4"/>
  <c r="M607" i="4"/>
  <c r="I483" i="4"/>
  <c r="G339" i="4"/>
  <c r="M486" i="4"/>
  <c r="I427" i="4"/>
  <c r="G370" i="4"/>
  <c r="M375" i="4"/>
  <c r="I370" i="4"/>
  <c r="G406" i="4"/>
  <c r="M278" i="4"/>
  <c r="I314" i="4"/>
  <c r="G437" i="4"/>
  <c r="M187" i="4"/>
  <c r="I263" i="4"/>
  <c r="G472" i="4"/>
  <c r="M97" i="4"/>
  <c r="I216" i="4"/>
  <c r="G503" i="4"/>
  <c r="M7" i="4"/>
  <c r="I171" i="4"/>
  <c r="G538" i="4"/>
  <c r="K616" i="4"/>
  <c r="I133" i="4"/>
  <c r="G570" i="4"/>
  <c r="K530" i="4"/>
  <c r="I90" i="4"/>
  <c r="G606" i="4"/>
  <c r="K383" i="4"/>
  <c r="I8" i="4"/>
  <c r="G669" i="4"/>
  <c r="K246" i="4"/>
  <c r="G76" i="4"/>
  <c r="Q252" i="4"/>
  <c r="K114" i="4"/>
  <c r="G150" i="4"/>
  <c r="O522" i="4"/>
  <c r="I681" i="4"/>
  <c r="G230" i="4"/>
  <c r="O126" i="4"/>
  <c r="I508" i="4"/>
  <c r="G326" i="4"/>
  <c r="M319" i="4"/>
  <c r="Q661" i="4"/>
  <c r="G261" i="4"/>
  <c r="I207" i="4"/>
  <c r="K77" i="4"/>
  <c r="M108" i="4"/>
  <c r="Q121" i="4"/>
  <c r="K165" i="4"/>
  <c r="M140" i="4"/>
  <c r="O672" i="4"/>
  <c r="I197" i="4"/>
  <c r="K22" i="4"/>
  <c r="K645" i="4"/>
  <c r="O236" i="4"/>
  <c r="M613" i="4"/>
  <c r="Q617" i="4"/>
  <c r="Q161" i="4"/>
  <c r="I468" i="4"/>
  <c r="K269" i="4"/>
  <c r="M199" i="4"/>
  <c r="O492" i="4"/>
  <c r="G603" i="4"/>
  <c r="G182" i="4"/>
  <c r="I249" i="4"/>
  <c r="K25" i="4"/>
  <c r="K576" i="4"/>
  <c r="M604" i="4"/>
  <c r="Q596" i="4"/>
  <c r="I667" i="4"/>
  <c r="K480" i="4"/>
  <c r="M433" i="4"/>
  <c r="Q219" i="4"/>
  <c r="Q406" i="4"/>
  <c r="G444" i="4"/>
  <c r="G44" i="4"/>
  <c r="I362" i="4"/>
  <c r="K73" i="4"/>
  <c r="K500" i="4"/>
  <c r="M282" i="4"/>
  <c r="O170" i="4"/>
  <c r="Q198" i="4"/>
  <c r="K659" i="4"/>
  <c r="M467" i="4"/>
  <c r="O424" i="4"/>
  <c r="Q456" i="4"/>
  <c r="I445" i="4"/>
  <c r="K160" i="4"/>
  <c r="K592" i="4"/>
  <c r="M389" i="4"/>
  <c r="O316" i="4"/>
  <c r="Q351" i="4"/>
  <c r="O282" i="4"/>
  <c r="Q316" i="4"/>
  <c r="K461" i="4"/>
  <c r="M239" i="4"/>
  <c r="O107" i="4"/>
  <c r="Q135" i="4"/>
  <c r="O361" i="4"/>
  <c r="Q393" i="4"/>
  <c r="O146" i="4"/>
  <c r="Q173" i="4"/>
  <c r="M649" i="4"/>
  <c r="O654" i="4"/>
  <c r="Q690" i="4"/>
  <c r="K467" i="4"/>
  <c r="M245" i="4"/>
  <c r="O118" i="4"/>
  <c r="Q144" i="4"/>
  <c r="K477" i="4"/>
  <c r="M233" i="4"/>
  <c r="O67" i="4"/>
  <c r="Q19" i="4"/>
  <c r="Q673" i="4"/>
  <c r="Q56" i="4"/>
  <c r="M615" i="4"/>
  <c r="O462" i="4"/>
  <c r="Q321" i="4"/>
  <c r="O164" i="4"/>
  <c r="Q22" i="4"/>
  <c r="Q575" i="4"/>
  <c r="M196" i="4"/>
  <c r="M676" i="4"/>
  <c r="O527" i="4"/>
  <c r="Q385" i="4"/>
  <c r="M162" i="4"/>
  <c r="M611" i="4"/>
  <c r="O429" i="4"/>
  <c r="Q261" i="4"/>
  <c r="M345" i="4"/>
  <c r="O70" i="4"/>
  <c r="O491" i="4"/>
  <c r="Q218" i="4"/>
  <c r="Q639" i="4"/>
  <c r="O515" i="4"/>
  <c r="Q242" i="4"/>
  <c r="Q663" i="4"/>
  <c r="O285" i="4"/>
  <c r="Q12" i="4"/>
  <c r="Q433" i="4"/>
  <c r="K124" i="4"/>
  <c r="K524" i="4"/>
  <c r="M230" i="4"/>
  <c r="M643" i="4"/>
  <c r="O370" i="4"/>
  <c r="Q97" i="4"/>
  <c r="Q518" i="4"/>
  <c r="M617" i="4"/>
  <c r="O323" i="4"/>
  <c r="Q29" i="4"/>
  <c r="Q429" i="4"/>
  <c r="O268" i="4"/>
  <c r="I606" i="4"/>
  <c r="G270" i="4"/>
  <c r="O65" i="4"/>
  <c r="I543" i="4"/>
  <c r="G302" i="4"/>
  <c r="M609" i="4"/>
  <c r="I484" i="4"/>
  <c r="G336" i="4"/>
  <c r="M488" i="4"/>
  <c r="I428" i="4"/>
  <c r="G369" i="4"/>
  <c r="M381" i="4"/>
  <c r="I371" i="4"/>
  <c r="G402" i="4"/>
  <c r="M280" i="4"/>
  <c r="I315" i="4"/>
  <c r="G436" i="4"/>
  <c r="M198" i="4"/>
  <c r="I264" i="4"/>
  <c r="G469" i="4"/>
  <c r="M101" i="4"/>
  <c r="I217" i="4"/>
  <c r="G502" i="4"/>
  <c r="M8" i="4"/>
  <c r="I172" i="4"/>
  <c r="G535" i="4"/>
  <c r="K621" i="4"/>
  <c r="I134" i="4"/>
  <c r="G569" i="4"/>
  <c r="K535" i="4"/>
  <c r="I91" i="4"/>
  <c r="G601" i="4"/>
  <c r="K457" i="4"/>
  <c r="I49" i="4"/>
  <c r="G635" i="4"/>
  <c r="K316" i="4"/>
  <c r="G34" i="4"/>
  <c r="Q451" i="4"/>
  <c r="K180" i="4"/>
  <c r="G114" i="4"/>
  <c r="Q39" i="4"/>
  <c r="K51" i="4"/>
  <c r="G190" i="4"/>
  <c r="O315" i="4"/>
  <c r="I624" i="4"/>
  <c r="G260" i="4"/>
  <c r="M674" i="4"/>
  <c r="I451" i="4"/>
  <c r="G358" i="4"/>
  <c r="M177" i="4"/>
  <c r="Q78" i="4"/>
  <c r="I221" i="4"/>
  <c r="K50" i="4"/>
  <c r="K679" i="4"/>
  <c r="O335" i="4"/>
  <c r="M662" i="4"/>
  <c r="M407" i="4"/>
  <c r="Q232" i="4"/>
  <c r="I491" i="4"/>
  <c r="K296" i="4"/>
  <c r="M231" i="4"/>
  <c r="O565" i="4"/>
  <c r="G582" i="4"/>
  <c r="G161" i="4"/>
  <c r="I272" i="4"/>
  <c r="K49" i="4"/>
  <c r="K608" i="4"/>
  <c r="M656" i="4"/>
  <c r="Q688" i="4"/>
  <c r="I690" i="4"/>
  <c r="K509" i="4"/>
  <c r="M465" i="4"/>
  <c r="Q292" i="4"/>
  <c r="Q447" i="4"/>
  <c r="G424" i="4"/>
  <c r="G24" i="4"/>
  <c r="I382" i="4"/>
  <c r="K94" i="4"/>
  <c r="K522" i="4"/>
  <c r="M308" i="4"/>
  <c r="O206" i="4"/>
  <c r="Q233" i="4"/>
  <c r="K682" i="4"/>
  <c r="M496" i="4"/>
  <c r="O460" i="4"/>
  <c r="Q488" i="4"/>
  <c r="I465" i="4"/>
  <c r="K181" i="4"/>
  <c r="K615" i="4"/>
  <c r="M416" i="4"/>
  <c r="O354" i="4"/>
  <c r="Q384" i="4"/>
  <c r="O317" i="4"/>
  <c r="Q353" i="4"/>
  <c r="K483" i="4"/>
  <c r="M264" i="4"/>
  <c r="O144" i="4"/>
  <c r="Q171" i="4"/>
  <c r="O397" i="4"/>
  <c r="Q425" i="4"/>
  <c r="O181" i="4"/>
  <c r="Q208" i="4"/>
  <c r="M679" i="4"/>
  <c r="O692" i="4"/>
  <c r="K62" i="4"/>
  <c r="K489" i="4"/>
  <c r="M271" i="4"/>
  <c r="O149" i="4"/>
  <c r="Q177" i="4"/>
  <c r="K498" i="4"/>
  <c r="M256" i="4"/>
  <c r="O98" i="4"/>
  <c r="Q52" i="4"/>
  <c r="O128" i="4"/>
  <c r="Q86" i="4"/>
  <c r="M644" i="4"/>
  <c r="O489" i="4"/>
  <c r="Q352" i="4"/>
  <c r="O190" i="4"/>
  <c r="Q48" i="4"/>
  <c r="Q606" i="4"/>
  <c r="M218" i="4"/>
  <c r="O9" i="4"/>
  <c r="O553" i="4"/>
  <c r="Q416" i="4"/>
  <c r="M183" i="4"/>
  <c r="M635" i="4"/>
  <c r="O457" i="4"/>
  <c r="Q290" i="4"/>
  <c r="M365" i="4"/>
  <c r="O91" i="4"/>
  <c r="O512" i="4"/>
  <c r="Q239" i="4"/>
  <c r="Q660" i="4"/>
  <c r="O536" i="4"/>
  <c r="Q263" i="4"/>
  <c r="Q685" i="4"/>
  <c r="O306" i="4"/>
  <c r="Q33" i="4"/>
  <c r="Q454" i="4"/>
  <c r="K144" i="4"/>
  <c r="K544" i="4"/>
  <c r="M250" i="4"/>
  <c r="M664" i="4"/>
  <c r="O391" i="4"/>
  <c r="Q118" i="4"/>
  <c r="Q539" i="4"/>
  <c r="M637" i="4"/>
  <c r="O343" i="4"/>
  <c r="Q49" i="4"/>
  <c r="Q449" i="4"/>
  <c r="O94" i="4"/>
  <c r="I548" i="4"/>
  <c r="G301" i="4"/>
  <c r="M623" i="4"/>
  <c r="I486" i="4"/>
  <c r="G335" i="4"/>
  <c r="M489" i="4"/>
  <c r="I430" i="4"/>
  <c r="G368" i="4"/>
  <c r="M382" i="4"/>
  <c r="I372" i="4"/>
  <c r="G401" i="4"/>
  <c r="M281" i="4"/>
  <c r="I316" i="4"/>
  <c r="G434" i="4"/>
  <c r="M200" i="4"/>
  <c r="I266" i="4"/>
  <c r="G468" i="4"/>
  <c r="M109" i="4"/>
  <c r="I218" i="4"/>
  <c r="G501" i="4"/>
  <c r="M14" i="4"/>
  <c r="I175" i="4"/>
  <c r="G534" i="4"/>
  <c r="K623" i="4"/>
  <c r="I135" i="4"/>
  <c r="G568" i="4"/>
  <c r="K542" i="4"/>
  <c r="I92" i="4"/>
  <c r="G600" i="4"/>
  <c r="K463" i="4"/>
  <c r="I50" i="4"/>
  <c r="G634" i="4"/>
  <c r="K385" i="4"/>
  <c r="I10" i="4"/>
  <c r="G668" i="4"/>
  <c r="K247" i="4"/>
  <c r="G74" i="4"/>
  <c r="Q256" i="4"/>
  <c r="K117" i="4"/>
  <c r="G149" i="4"/>
  <c r="O525" i="4"/>
  <c r="I682" i="4"/>
  <c r="G229" i="4"/>
  <c r="O131" i="4"/>
  <c r="I567" i="4"/>
  <c r="G295" i="4"/>
  <c r="M542" i="4"/>
  <c r="I395" i="4"/>
  <c r="G390" i="4"/>
  <c r="M420" i="4"/>
  <c r="G660" i="4"/>
  <c r="G217" i="4"/>
  <c r="I258" i="4"/>
  <c r="K143" i="4"/>
  <c r="M195" i="4"/>
  <c r="Q335" i="4"/>
  <c r="K222" i="4"/>
  <c r="M216" i="4"/>
  <c r="Q186" i="4"/>
  <c r="I247" i="4"/>
  <c r="K79" i="4"/>
  <c r="M27" i="4"/>
  <c r="O418" i="4"/>
  <c r="O25" i="4"/>
  <c r="M444" i="4"/>
  <c r="Q311" i="4"/>
  <c r="I514" i="4"/>
  <c r="K322" i="4"/>
  <c r="M268" i="4"/>
  <c r="O634" i="4"/>
  <c r="G561" i="4"/>
  <c r="G140" i="4"/>
  <c r="I295" i="4"/>
  <c r="K75" i="4"/>
  <c r="K641" i="4"/>
  <c r="O21" i="4"/>
  <c r="I267" i="4"/>
  <c r="K19" i="4"/>
  <c r="K537" i="4"/>
  <c r="M509" i="4"/>
  <c r="Q362" i="4"/>
  <c r="Q483" i="4"/>
  <c r="G404" i="4"/>
  <c r="G4" i="4"/>
  <c r="I402" i="4"/>
  <c r="K115" i="4"/>
  <c r="K545" i="4"/>
  <c r="M335" i="4"/>
  <c r="O237" i="4"/>
  <c r="Q271" i="4"/>
  <c r="M13" i="4"/>
  <c r="M523" i="4"/>
  <c r="O498" i="4"/>
  <c r="Q527" i="4"/>
  <c r="I485" i="4"/>
  <c r="K202" i="4"/>
  <c r="K638" i="4"/>
  <c r="M443" i="4"/>
  <c r="O394" i="4"/>
  <c r="Q422" i="4"/>
  <c r="O358" i="4"/>
  <c r="Q387" i="4"/>
  <c r="K506" i="4"/>
  <c r="M289" i="4"/>
  <c r="O176" i="4"/>
  <c r="Q206" i="4"/>
  <c r="O434" i="4"/>
  <c r="Q462" i="4"/>
  <c r="O214" i="4"/>
  <c r="Q247" i="4"/>
  <c r="O18" i="4"/>
  <c r="Q36" i="4"/>
  <c r="K83" i="4"/>
  <c r="K511" i="4"/>
  <c r="M295" i="4"/>
  <c r="O185" i="4"/>
  <c r="Q217" i="4"/>
  <c r="K519" i="4"/>
  <c r="M279" i="4"/>
  <c r="O127" i="4"/>
  <c r="Q85" i="4"/>
  <c r="O161" i="4"/>
  <c r="Q120" i="4"/>
  <c r="M669" i="4"/>
  <c r="O519" i="4"/>
  <c r="Q378" i="4"/>
  <c r="O216" i="4"/>
  <c r="Q80" i="4"/>
  <c r="Q633" i="4"/>
  <c r="M240" i="4"/>
  <c r="O36" i="4"/>
  <c r="O584" i="4"/>
  <c r="Q442" i="4"/>
  <c r="M204" i="4"/>
  <c r="M661" i="4"/>
  <c r="O482" i="4"/>
  <c r="Q315" i="4"/>
  <c r="M385" i="4"/>
  <c r="O112" i="4"/>
  <c r="O533" i="4"/>
  <c r="Q260" i="4"/>
  <c r="Q682" i="4"/>
  <c r="O557" i="4"/>
  <c r="Q284" i="4"/>
  <c r="M600" i="4"/>
  <c r="O327" i="4"/>
  <c r="Q54" i="4"/>
  <c r="Q475" i="4"/>
  <c r="K164" i="4"/>
  <c r="K564" i="4"/>
  <c r="M270" i="4"/>
  <c r="M685" i="4"/>
  <c r="O412" i="4"/>
  <c r="Q139" i="4"/>
  <c r="Q560" i="4"/>
  <c r="M657" i="4"/>
  <c r="O363" i="4"/>
  <c r="Q69" i="4"/>
  <c r="Q469" i="4"/>
  <c r="M629" i="4"/>
  <c r="I492" i="4"/>
  <c r="G333" i="4"/>
  <c r="M491" i="4"/>
  <c r="I431" i="4"/>
  <c r="G367" i="4"/>
  <c r="M383" i="4"/>
  <c r="I374" i="4"/>
  <c r="G399" i="4"/>
  <c r="M285" i="4"/>
  <c r="I317" i="4"/>
  <c r="G433" i="4"/>
  <c r="M201" i="4"/>
  <c r="I269" i="4"/>
  <c r="G466" i="4"/>
  <c r="M113" i="4"/>
  <c r="I223" i="4"/>
  <c r="G500" i="4"/>
  <c r="M28" i="4"/>
  <c r="I180" i="4"/>
  <c r="G532" i="4"/>
  <c r="K628" i="4"/>
  <c r="I136" i="4"/>
  <c r="G567" i="4"/>
  <c r="K547" i="4"/>
  <c r="I94" i="4"/>
  <c r="G598" i="4"/>
  <c r="K469" i="4"/>
  <c r="I53" i="4"/>
  <c r="G633" i="4"/>
  <c r="K390" i="4"/>
  <c r="I16" i="4"/>
  <c r="G665" i="4"/>
  <c r="K317" i="4"/>
  <c r="G32" i="4"/>
  <c r="Q477" i="4"/>
  <c r="K182" i="4"/>
  <c r="G113" i="4"/>
  <c r="Q40" i="4"/>
  <c r="K53" i="4"/>
  <c r="G189" i="4"/>
  <c r="O336" i="4"/>
  <c r="I626" i="4"/>
  <c r="G259" i="4"/>
  <c r="M682" i="4"/>
  <c r="I509" i="4"/>
  <c r="G325" i="4"/>
  <c r="M428" i="4"/>
  <c r="I340" i="4"/>
  <c r="G421" i="4"/>
  <c r="I286" i="4"/>
  <c r="K174" i="4"/>
  <c r="M238" i="4"/>
  <c r="Q438" i="4"/>
  <c r="K251" i="4"/>
  <c r="M252" i="4"/>
  <c r="Q267" i="4"/>
  <c r="I273" i="4"/>
  <c r="K108" i="4"/>
  <c r="M66" i="4"/>
  <c r="O511" i="4"/>
  <c r="O86" i="4"/>
  <c r="M484" i="4"/>
  <c r="Q396" i="4"/>
  <c r="I537" i="4"/>
  <c r="K351" i="4"/>
  <c r="M300" i="4"/>
  <c r="Q15" i="4"/>
  <c r="G540" i="4"/>
  <c r="G119" i="4"/>
  <c r="I318" i="4"/>
  <c r="K101" i="4"/>
  <c r="K674" i="4"/>
  <c r="O77" i="4"/>
  <c r="I289" i="4"/>
  <c r="K42" i="4"/>
  <c r="K566" i="4"/>
  <c r="M546" i="4"/>
  <c r="Q436" i="4"/>
  <c r="Q520" i="4"/>
  <c r="G384" i="4"/>
  <c r="I22" i="4"/>
  <c r="I422" i="4"/>
  <c r="K136" i="4"/>
  <c r="K567" i="4"/>
  <c r="M360" i="4"/>
  <c r="O276" i="4"/>
  <c r="Q308" i="4"/>
  <c r="M38" i="4"/>
  <c r="M550" i="4"/>
  <c r="O531" i="4"/>
  <c r="Q563" i="4"/>
  <c r="I505" i="4"/>
  <c r="K223" i="4"/>
  <c r="K661" i="4"/>
  <c r="M471" i="4"/>
  <c r="O426" i="4"/>
  <c r="Q458" i="4"/>
  <c r="O395" i="4"/>
  <c r="Q423" i="4"/>
  <c r="K528" i="4"/>
  <c r="M315" i="4"/>
  <c r="O211" i="4"/>
  <c r="Q241" i="4"/>
  <c r="O468" i="4"/>
  <c r="Q501" i="4"/>
  <c r="O253" i="4"/>
  <c r="Q283" i="4"/>
  <c r="O48" i="4"/>
  <c r="Q67" i="4"/>
  <c r="K105" i="4"/>
  <c r="K533" i="4"/>
  <c r="M320" i="4"/>
  <c r="O224" i="4"/>
  <c r="Q254" i="4"/>
  <c r="K540" i="4"/>
  <c r="M302" i="4"/>
  <c r="O160" i="4"/>
  <c r="Q119" i="4"/>
  <c r="O193" i="4"/>
  <c r="Q150" i="4"/>
  <c r="M694" i="4"/>
  <c r="O546" i="4"/>
  <c r="Q404" i="4"/>
  <c r="O248" i="4"/>
  <c r="Q106" i="4"/>
  <c r="Q659" i="4"/>
  <c r="M262" i="4"/>
  <c r="O61" i="4"/>
  <c r="O610" i="4"/>
  <c r="Q468" i="4"/>
  <c r="M225" i="4"/>
  <c r="M687" i="4"/>
  <c r="O508" i="4"/>
  <c r="Q340" i="4"/>
  <c r="M406" i="4"/>
  <c r="O133" i="4"/>
  <c r="O554" i="4"/>
  <c r="Q281" i="4"/>
  <c r="O157" i="4"/>
  <c r="O578" i="4"/>
  <c r="Q305" i="4"/>
  <c r="M621" i="4"/>
  <c r="O348" i="4"/>
  <c r="Q75" i="4"/>
  <c r="Q496" i="4"/>
  <c r="K184" i="4"/>
  <c r="K584" i="4"/>
  <c r="M290" i="4"/>
  <c r="O12" i="4"/>
  <c r="O433" i="4"/>
  <c r="Q160" i="4"/>
  <c r="Q581" i="4"/>
  <c r="M677" i="4"/>
  <c r="O383" i="4"/>
  <c r="Q89" i="4"/>
  <c r="Q489" i="4"/>
  <c r="M503" i="4"/>
  <c r="I436" i="4"/>
  <c r="G366" i="4"/>
  <c r="M384" i="4"/>
  <c r="I375" i="4"/>
  <c r="G398" i="4"/>
  <c r="M287" i="4"/>
  <c r="I319" i="4"/>
  <c r="G432" i="4"/>
  <c r="M202" i="4"/>
  <c r="I270" i="4"/>
  <c r="G465" i="4"/>
  <c r="M115" i="4"/>
  <c r="I224" i="4"/>
  <c r="G499" i="4"/>
  <c r="M31" i="4"/>
  <c r="I183" i="4"/>
  <c r="G531" i="4"/>
  <c r="K634" i="4"/>
  <c r="I137" i="4"/>
  <c r="G566" i="4"/>
  <c r="K551" i="4"/>
  <c r="I95" i="4"/>
  <c r="G597" i="4"/>
  <c r="K470" i="4"/>
  <c r="I54" i="4"/>
  <c r="G632" i="4"/>
  <c r="K396" i="4"/>
  <c r="I18" i="4"/>
  <c r="G663" i="4"/>
  <c r="K323" i="4"/>
  <c r="G31" i="4"/>
  <c r="E3" i="4"/>
  <c r="K248" i="4"/>
  <c r="G73" i="4"/>
  <c r="Q257" i="4"/>
  <c r="K119" i="4"/>
  <c r="G148" i="4"/>
  <c r="O526" i="4"/>
  <c r="I684" i="4"/>
  <c r="G226" i="4"/>
  <c r="O136" i="4"/>
  <c r="I568" i="4"/>
  <c r="G292" i="4"/>
  <c r="M543" i="4"/>
  <c r="I452" i="4"/>
  <c r="G357" i="4"/>
  <c r="M241" i="4"/>
  <c r="I290" i="4"/>
  <c r="G454" i="4"/>
  <c r="K280" i="4"/>
  <c r="M294" i="4"/>
  <c r="Q364" i="4"/>
  <c r="I298" i="4"/>
  <c r="K137" i="4"/>
  <c r="M103" i="4"/>
  <c r="O592" i="4"/>
  <c r="O145" i="4"/>
  <c r="M524" i="4"/>
  <c r="Q470" i="4"/>
  <c r="I560" i="4"/>
  <c r="K379" i="4"/>
  <c r="M339" i="4"/>
  <c r="Q93" i="4"/>
  <c r="G519" i="4"/>
  <c r="G98" i="4"/>
  <c r="I341" i="4"/>
  <c r="K128" i="4"/>
  <c r="M11" i="4"/>
  <c r="O129" i="4"/>
  <c r="I311" i="4"/>
  <c r="K67" i="4"/>
  <c r="K597" i="4"/>
  <c r="M592" i="4"/>
  <c r="Q506" i="4"/>
  <c r="Q556" i="4"/>
  <c r="G364" i="4"/>
  <c r="I42" i="4"/>
  <c r="I442" i="4"/>
  <c r="K157" i="4"/>
  <c r="K589" i="4"/>
  <c r="M386" i="4"/>
  <c r="O313" i="4"/>
  <c r="Q341" i="4"/>
  <c r="M62" i="4"/>
  <c r="M578" i="4"/>
  <c r="O568" i="4"/>
  <c r="Q595" i="4"/>
  <c r="I525" i="4"/>
  <c r="K245" i="4"/>
  <c r="K685" i="4"/>
  <c r="M499" i="4"/>
  <c r="O464" i="4"/>
  <c r="Q491" i="4"/>
  <c r="O427" i="4"/>
  <c r="Q459" i="4"/>
  <c r="K550" i="4"/>
  <c r="M340" i="4"/>
  <c r="O250" i="4"/>
  <c r="Q278" i="4"/>
  <c r="O505" i="4"/>
  <c r="Q533" i="4"/>
  <c r="O289" i="4"/>
  <c r="Q319" i="4"/>
  <c r="O81" i="4"/>
  <c r="Q105" i="4"/>
  <c r="K126" i="4"/>
  <c r="K555" i="4"/>
  <c r="M346" i="4"/>
  <c r="O258" i="4"/>
  <c r="Q291" i="4"/>
  <c r="K561" i="4"/>
  <c r="M327" i="4"/>
  <c r="O191" i="4"/>
  <c r="Q148" i="4"/>
  <c r="O228" i="4"/>
  <c r="Q183" i="4"/>
  <c r="O26" i="4"/>
  <c r="O572" i="4"/>
  <c r="Q435" i="4"/>
  <c r="O274" i="4"/>
  <c r="Q133" i="4"/>
  <c r="Q691" i="4"/>
  <c r="M284" i="4"/>
  <c r="O87" i="4"/>
  <c r="O636" i="4"/>
  <c r="Q499" i="4"/>
  <c r="M246" i="4"/>
  <c r="O17" i="4"/>
  <c r="O534" i="4"/>
  <c r="Q366" i="4"/>
  <c r="M427" i="4"/>
  <c r="O154" i="4"/>
  <c r="O575" i="4"/>
  <c r="Q302" i="4"/>
  <c r="O178" i="4"/>
  <c r="O599" i="4"/>
  <c r="Q326" i="4"/>
  <c r="M642" i="4"/>
  <c r="O369" i="4"/>
  <c r="Q96" i="4"/>
  <c r="Q517" i="4"/>
  <c r="K204" i="4"/>
  <c r="K604" i="4"/>
  <c r="M310" i="4"/>
  <c r="O33" i="4"/>
  <c r="O454" i="4"/>
  <c r="Q181" i="4"/>
  <c r="Q602" i="4"/>
  <c r="O3" i="4"/>
  <c r="O403" i="4"/>
  <c r="Q109" i="4"/>
  <c r="Q509" i="4"/>
  <c r="M394" i="4"/>
  <c r="I381" i="4"/>
  <c r="G397" i="4"/>
  <c r="M292" i="4"/>
  <c r="I320" i="4"/>
  <c r="G430" i="4"/>
  <c r="M203" i="4"/>
  <c r="I271" i="4"/>
  <c r="G463" i="4"/>
  <c r="M119" i="4"/>
  <c r="I228" i="4"/>
  <c r="G496" i="4"/>
  <c r="M32" i="4"/>
  <c r="I184" i="4"/>
  <c r="G530" i="4"/>
  <c r="K637" i="4"/>
  <c r="I138" i="4"/>
  <c r="G563" i="4"/>
  <c r="K558" i="4"/>
  <c r="I96" i="4"/>
  <c r="G596" i="4"/>
  <c r="K474" i="4"/>
  <c r="I57" i="4"/>
  <c r="G630" i="4"/>
  <c r="K399" i="4"/>
  <c r="I19" i="4"/>
  <c r="G662" i="4"/>
  <c r="K328" i="4"/>
  <c r="G30" i="4"/>
  <c r="G696" i="4"/>
  <c r="K255" i="4"/>
  <c r="G72" i="4"/>
  <c r="Q481" i="4"/>
  <c r="K183" i="4"/>
  <c r="G111" i="4"/>
  <c r="Q41" i="4"/>
  <c r="K54" i="4"/>
  <c r="G187" i="4"/>
  <c r="O338" i="4"/>
  <c r="I627" i="4"/>
  <c r="G258" i="4"/>
  <c r="M683" i="4"/>
  <c r="I510" i="4"/>
  <c r="G323" i="4"/>
  <c r="M430" i="4"/>
  <c r="I397" i="4"/>
  <c r="G389" i="4"/>
  <c r="M154" i="4"/>
  <c r="I241" i="4"/>
  <c r="G486" i="4"/>
  <c r="G485" i="4"/>
  <c r="G39" i="4"/>
  <c r="I475" i="4"/>
  <c r="K409" i="4"/>
  <c r="M594" i="4"/>
  <c r="G594" i="4"/>
  <c r="G151" i="4"/>
  <c r="I339" i="4"/>
  <c r="K237" i="4"/>
  <c r="M321" i="4"/>
  <c r="Q675" i="4"/>
  <c r="K312" i="4"/>
  <c r="M334" i="4"/>
  <c r="Q457" i="4"/>
  <c r="I324" i="4"/>
  <c r="K167" i="4"/>
  <c r="M143" i="4"/>
  <c r="O673" i="4"/>
  <c r="O204" i="4"/>
  <c r="M569" i="4"/>
  <c r="Q546" i="4"/>
  <c r="I584" i="4"/>
  <c r="K407" i="4"/>
  <c r="M374" i="4"/>
  <c r="Q174" i="4"/>
  <c r="G498" i="4"/>
  <c r="G77" i="4"/>
  <c r="I366" i="4"/>
  <c r="K153" i="4"/>
  <c r="M48" i="4"/>
  <c r="O197" i="4"/>
  <c r="I333" i="4"/>
  <c r="K91" i="4"/>
  <c r="K629" i="4"/>
  <c r="M632" i="4"/>
  <c r="Q584" i="4"/>
  <c r="Q591" i="4"/>
  <c r="G344" i="4"/>
  <c r="I62" i="4"/>
  <c r="I462" i="4"/>
  <c r="K178" i="4"/>
  <c r="K612" i="4"/>
  <c r="M413" i="4"/>
  <c r="O346" i="4"/>
  <c r="Q380" i="4"/>
  <c r="M87" i="4"/>
  <c r="M606" i="4"/>
  <c r="O605" i="4"/>
  <c r="Q634" i="4"/>
  <c r="I545" i="4"/>
  <c r="K266" i="4"/>
  <c r="M16" i="4"/>
  <c r="M526" i="4"/>
  <c r="O501" i="4"/>
  <c r="Q530" i="4"/>
  <c r="O465" i="4"/>
  <c r="Q494" i="4"/>
  <c r="K572" i="4"/>
  <c r="M366" i="4"/>
  <c r="O287" i="4"/>
  <c r="Q317" i="4"/>
  <c r="O541" i="4"/>
  <c r="Q568" i="4"/>
  <c r="O329" i="4"/>
  <c r="Q357" i="4"/>
  <c r="O114" i="4"/>
  <c r="Q143" i="4"/>
  <c r="K147" i="4"/>
  <c r="K577" i="4"/>
  <c r="M372" i="4"/>
  <c r="O294" i="4"/>
  <c r="Q324" i="4"/>
  <c r="K582" i="4"/>
  <c r="M352" i="4"/>
  <c r="O227" i="4"/>
  <c r="Q182" i="4"/>
  <c r="O257" i="4"/>
  <c r="Q215" i="4"/>
  <c r="O52" i="4"/>
  <c r="O602" i="4"/>
  <c r="Q461" i="4"/>
  <c r="O300" i="4"/>
  <c r="Q163" i="4"/>
  <c r="Q662" i="4"/>
  <c r="M307" i="4"/>
  <c r="O113" i="4"/>
  <c r="O667" i="4"/>
  <c r="Q526" i="4"/>
  <c r="M267" i="4"/>
  <c r="O41" i="4"/>
  <c r="O562" i="4"/>
  <c r="Q395" i="4"/>
  <c r="M448" i="4"/>
  <c r="O175" i="4"/>
  <c r="O596" i="4"/>
  <c r="Q323" i="4"/>
  <c r="O199" i="4"/>
  <c r="O620" i="4"/>
  <c r="Q347" i="4"/>
  <c r="M663" i="4"/>
  <c r="O390" i="4"/>
  <c r="Q117" i="4"/>
  <c r="Q538" i="4"/>
  <c r="K224" i="4"/>
  <c r="K624" i="4"/>
  <c r="M330" i="4"/>
  <c r="O54" i="4"/>
  <c r="O475" i="4"/>
  <c r="Q202" i="4"/>
  <c r="Q623" i="4"/>
  <c r="O23" i="4"/>
  <c r="O423" i="4"/>
  <c r="Q129" i="4"/>
  <c r="Q529" i="4"/>
  <c r="M301" i="4"/>
  <c r="I328" i="4"/>
  <c r="G429" i="4"/>
  <c r="M205" i="4"/>
  <c r="I276" i="4"/>
  <c r="G460" i="4"/>
  <c r="M121" i="4"/>
  <c r="I233" i="4"/>
  <c r="G495" i="4"/>
  <c r="M33" i="4"/>
  <c r="I186" i="4"/>
  <c r="G527" i="4"/>
  <c r="K639" i="4"/>
  <c r="I141" i="4"/>
  <c r="G562" i="4"/>
  <c r="K559" i="4"/>
  <c r="I100" i="4"/>
  <c r="G593" i="4"/>
  <c r="K485" i="4"/>
  <c r="I64" i="4"/>
  <c r="G629" i="4"/>
  <c r="K402" i="4"/>
  <c r="I20" i="4"/>
  <c r="G659" i="4"/>
  <c r="K330" i="4"/>
  <c r="G28" i="4"/>
  <c r="G695" i="4"/>
  <c r="K259" i="4"/>
  <c r="G69" i="4"/>
  <c r="Q490" i="4"/>
  <c r="K190" i="4"/>
  <c r="G106" i="4"/>
  <c r="Q258" i="4"/>
  <c r="K120" i="4"/>
  <c r="G147" i="4"/>
  <c r="O528" i="4"/>
  <c r="I685" i="4"/>
  <c r="G223" i="4"/>
  <c r="O150" i="4"/>
  <c r="I569" i="4"/>
  <c r="G291" i="4"/>
  <c r="M544" i="4"/>
  <c r="I453" i="4"/>
  <c r="G355" i="4"/>
  <c r="M326" i="4"/>
  <c r="I343" i="4"/>
  <c r="G420" i="4"/>
  <c r="M72" i="4"/>
  <c r="I198" i="4"/>
  <c r="G517" i="4"/>
  <c r="K631" i="4"/>
  <c r="G16" i="4"/>
  <c r="M379" i="4"/>
  <c r="Q557" i="4"/>
  <c r="I351" i="4"/>
  <c r="K195" i="4"/>
  <c r="M178" i="4"/>
  <c r="Q87" i="4"/>
  <c r="O271" i="4"/>
  <c r="M618" i="4"/>
  <c r="Q619" i="4"/>
  <c r="I608" i="4"/>
  <c r="K436" i="4"/>
  <c r="M410" i="4"/>
  <c r="Q255" i="4"/>
  <c r="G477" i="4"/>
  <c r="G56" i="4"/>
  <c r="I389" i="4"/>
  <c r="K179" i="4"/>
  <c r="M81" i="4"/>
  <c r="O267" i="4"/>
  <c r="I355" i="4"/>
  <c r="K116" i="4"/>
  <c r="K657" i="4"/>
  <c r="M689" i="4"/>
  <c r="Q652" i="4"/>
  <c r="Q626" i="4"/>
  <c r="G324" i="4"/>
  <c r="I82" i="4"/>
  <c r="I482" i="4"/>
  <c r="K199" i="4"/>
  <c r="K635" i="4"/>
  <c r="M440" i="4"/>
  <c r="O382" i="4"/>
  <c r="Q418" i="4"/>
  <c r="M112" i="4"/>
  <c r="M634" i="4"/>
  <c r="O640" i="4"/>
  <c r="Q672" i="4"/>
  <c r="I565" i="4"/>
  <c r="K287" i="4"/>
  <c r="M40" i="4"/>
  <c r="M552" i="4"/>
  <c r="O535" i="4"/>
  <c r="Q565" i="4"/>
  <c r="O502" i="4"/>
  <c r="Q531" i="4"/>
  <c r="K594" i="4"/>
  <c r="M392" i="4"/>
  <c r="O318" i="4"/>
  <c r="Q354" i="4"/>
  <c r="O574" i="4"/>
  <c r="Q611" i="4"/>
  <c r="O362" i="4"/>
  <c r="Q394" i="4"/>
  <c r="O148" i="4"/>
  <c r="Q175" i="4"/>
  <c r="K168" i="4"/>
  <c r="K599" i="4"/>
  <c r="M398" i="4"/>
  <c r="O333" i="4"/>
  <c r="Q361" i="4"/>
  <c r="K603" i="4"/>
  <c r="M376" i="4"/>
  <c r="O256" i="4"/>
  <c r="Q214" i="4"/>
  <c r="O291" i="4"/>
  <c r="Q251" i="4"/>
  <c r="O79" i="4"/>
  <c r="O629" i="4"/>
  <c r="Q487" i="4"/>
  <c r="O331" i="4"/>
  <c r="Q190" i="4"/>
  <c r="Q694" i="4"/>
  <c r="M331" i="4"/>
  <c r="O140" i="4"/>
  <c r="O694" i="4"/>
  <c r="Q553" i="4"/>
  <c r="M288" i="4"/>
  <c r="O66" i="4"/>
  <c r="O588" i="4"/>
  <c r="Q420" i="4"/>
  <c r="M469" i="4"/>
  <c r="O196" i="4"/>
  <c r="O617" i="4"/>
  <c r="Q344" i="4"/>
  <c r="O220" i="4"/>
  <c r="O641" i="4"/>
  <c r="Q368" i="4"/>
  <c r="M684" i="4"/>
  <c r="O411" i="4"/>
  <c r="Q138" i="4"/>
  <c r="Q559" i="4"/>
  <c r="K244" i="4"/>
  <c r="K644" i="4"/>
  <c r="M350" i="4"/>
  <c r="O75" i="4"/>
  <c r="O496" i="4"/>
  <c r="Q223" i="4"/>
  <c r="Q644" i="4"/>
  <c r="O43" i="4"/>
  <c r="O443" i="4"/>
  <c r="Q149" i="4"/>
  <c r="Q549" i="4"/>
  <c r="M214" i="4"/>
  <c r="I277" i="4"/>
  <c r="G459" i="4"/>
  <c r="M122" i="4"/>
  <c r="I235" i="4"/>
  <c r="G494" i="4"/>
  <c r="M34" i="4"/>
  <c r="I187" i="4"/>
  <c r="G526" i="4"/>
  <c r="K642" i="4"/>
  <c r="I143" i="4"/>
  <c r="G560" i="4"/>
  <c r="K560" i="4"/>
  <c r="I101" i="4"/>
  <c r="G592" i="4"/>
  <c r="K487" i="4"/>
  <c r="I65" i="4"/>
  <c r="G628" i="4"/>
  <c r="K412" i="4"/>
  <c r="I21" i="4"/>
  <c r="G658" i="4"/>
  <c r="K333" i="4"/>
  <c r="G27" i="4"/>
  <c r="G694" i="4"/>
  <c r="K260" i="4"/>
  <c r="G68" i="4"/>
  <c r="Q511" i="4"/>
  <c r="K196" i="4"/>
  <c r="G105" i="4"/>
  <c r="Q287" i="4"/>
  <c r="K125" i="4"/>
  <c r="G146" i="4"/>
  <c r="Q42" i="4"/>
  <c r="K56" i="4"/>
  <c r="G186" i="4"/>
  <c r="O339" i="4"/>
  <c r="I628" i="4"/>
  <c r="G257" i="4"/>
  <c r="M686" i="4"/>
  <c r="I512" i="4"/>
  <c r="G322" i="4"/>
  <c r="M431" i="4"/>
  <c r="I398" i="4"/>
  <c r="G388" i="4"/>
  <c r="M242" i="4"/>
  <c r="I291" i="4"/>
  <c r="G452" i="4"/>
  <c r="K676" i="4"/>
  <c r="I158" i="4"/>
  <c r="G548" i="4"/>
  <c r="E120" i="4"/>
  <c r="K299" i="4"/>
  <c r="Q262" i="4"/>
  <c r="M631" i="4"/>
  <c r="I675" i="4"/>
  <c r="G107" i="4"/>
  <c r="I504" i="4"/>
  <c r="K375" i="4"/>
  <c r="I376" i="4"/>
  <c r="O340" i="4"/>
  <c r="M665" i="4"/>
  <c r="I168" i="4"/>
  <c r="I631" i="4"/>
  <c r="K466" i="4"/>
  <c r="M450" i="4"/>
  <c r="Q331" i="4"/>
  <c r="G456" i="4"/>
  <c r="G35" i="4"/>
  <c r="I412" i="4"/>
  <c r="K206" i="4"/>
  <c r="M118" i="4"/>
  <c r="O337" i="4"/>
  <c r="I377" i="4"/>
  <c r="K141" i="4"/>
  <c r="K692" i="4"/>
  <c r="O51" i="4"/>
  <c r="O632" i="4"/>
  <c r="Q667" i="4"/>
  <c r="G304" i="4"/>
  <c r="I102" i="4"/>
  <c r="I502" i="4"/>
  <c r="K220" i="4"/>
  <c r="K658" i="4"/>
  <c r="M466" i="4"/>
  <c r="O422" i="4"/>
  <c r="Q452" i="4"/>
  <c r="M136" i="4"/>
  <c r="M667" i="4"/>
  <c r="O675" i="4"/>
  <c r="I185" i="4"/>
  <c r="I585" i="4"/>
  <c r="K308" i="4"/>
  <c r="M65" i="4"/>
  <c r="M581" i="4"/>
  <c r="O570" i="4"/>
  <c r="Q599" i="4"/>
  <c r="O539" i="4"/>
  <c r="Q566" i="4"/>
  <c r="K617" i="4"/>
  <c r="M419" i="4"/>
  <c r="O359" i="4"/>
  <c r="Q388" i="4"/>
  <c r="O612" i="4"/>
  <c r="Q646" i="4"/>
  <c r="O398" i="4"/>
  <c r="Q426" i="4"/>
  <c r="O184" i="4"/>
  <c r="Q213" i="4"/>
  <c r="K189" i="4"/>
  <c r="K622" i="4"/>
  <c r="M425" i="4"/>
  <c r="O367" i="4"/>
  <c r="Q398" i="4"/>
  <c r="K626" i="4"/>
  <c r="M403" i="4"/>
  <c r="O290" i="4"/>
  <c r="Q248" i="4"/>
  <c r="O320" i="4"/>
  <c r="Q280" i="4"/>
  <c r="O105" i="4"/>
  <c r="O655" i="4"/>
  <c r="Q515" i="4"/>
  <c r="O357" i="4"/>
  <c r="Q216" i="4"/>
  <c r="K606" i="4"/>
  <c r="M354" i="4"/>
  <c r="O168" i="4"/>
  <c r="Q26" i="4"/>
  <c r="Q583" i="4"/>
  <c r="M311" i="4"/>
  <c r="O90" i="4"/>
  <c r="O613" i="4"/>
  <c r="Q445" i="4"/>
  <c r="M490" i="4"/>
  <c r="O217" i="4"/>
  <c r="O638" i="4"/>
  <c r="Q365" i="4"/>
  <c r="O241" i="4"/>
  <c r="O662" i="4"/>
  <c r="Q390" i="4"/>
  <c r="O11" i="4"/>
  <c r="O432" i="4"/>
  <c r="Q159" i="4"/>
  <c r="Q580" i="4"/>
  <c r="K264" i="4"/>
  <c r="K664" i="4"/>
  <c r="M370" i="4"/>
  <c r="O96" i="4"/>
  <c r="O517" i="4"/>
  <c r="Q244" i="4"/>
  <c r="Q665" i="4"/>
  <c r="O63" i="4"/>
  <c r="O463" i="4"/>
  <c r="Q169" i="4"/>
  <c r="Q569" i="4"/>
  <c r="M131" i="4"/>
  <c r="I236" i="4"/>
  <c r="G491" i="4"/>
  <c r="M35" i="4"/>
  <c r="I188" i="4"/>
  <c r="G525" i="4"/>
  <c r="K647" i="4"/>
  <c r="I144" i="4"/>
  <c r="G557" i="4"/>
  <c r="K562" i="4"/>
  <c r="I104" i="4"/>
  <c r="G591" i="4"/>
  <c r="K488" i="4"/>
  <c r="I66" i="4"/>
  <c r="G623" i="4"/>
  <c r="K413" i="4"/>
  <c r="I23" i="4"/>
  <c r="G657" i="4"/>
  <c r="K339" i="4"/>
  <c r="G26" i="4"/>
  <c r="G691" i="4"/>
  <c r="K263" i="4"/>
  <c r="G66" i="4"/>
  <c r="Q512" i="4"/>
  <c r="K197" i="4"/>
  <c r="G103" i="4"/>
  <c r="Q296" i="4"/>
  <c r="K130" i="4"/>
  <c r="G145" i="4"/>
  <c r="Q60" i="4"/>
  <c r="K61" i="4"/>
  <c r="G185" i="4"/>
  <c r="O529" i="4"/>
  <c r="I687" i="4"/>
  <c r="G221" i="4"/>
  <c r="O151" i="4"/>
  <c r="I570" i="4"/>
  <c r="G289" i="4"/>
  <c r="M545" i="4"/>
  <c r="I455" i="4"/>
  <c r="G354" i="4"/>
  <c r="M328" i="4"/>
  <c r="I344" i="4"/>
  <c r="G419" i="4"/>
  <c r="M155" i="4"/>
  <c r="I243" i="4"/>
  <c r="G482" i="4"/>
  <c r="K596" i="4"/>
  <c r="I117" i="4"/>
  <c r="G579" i="4"/>
  <c r="G572" i="4"/>
  <c r="E489" i="4"/>
  <c r="E68" i="4"/>
  <c r="E391" i="4"/>
  <c r="E484" i="4"/>
  <c r="G125" i="4"/>
  <c r="K92" i="4"/>
  <c r="G23" i="4"/>
  <c r="K261" i="4"/>
  <c r="K672" i="4"/>
  <c r="K479" i="4"/>
  <c r="K303" i="4"/>
  <c r="Q187" i="4"/>
  <c r="E496" i="4"/>
  <c r="E307" i="4"/>
  <c r="E677" i="4"/>
  <c r="E165" i="4"/>
  <c r="E344" i="4"/>
  <c r="E129" i="4"/>
  <c r="E55" i="4"/>
  <c r="E289" i="4"/>
  <c r="E618" i="4"/>
  <c r="E95" i="4"/>
  <c r="E277" i="4"/>
  <c r="E100" i="4"/>
  <c r="E216" i="4"/>
  <c r="E70" i="4"/>
  <c r="E76" i="4"/>
  <c r="E288" i="4"/>
  <c r="E27" i="4"/>
  <c r="E136" i="4"/>
  <c r="E547" i="4"/>
  <c r="E94" i="4"/>
  <c r="E382" i="4"/>
  <c r="E467" i="4"/>
  <c r="E350" i="4"/>
  <c r="E639" i="4"/>
  <c r="E525" i="4"/>
  <c r="E651" i="4"/>
  <c r="E566" i="4"/>
  <c r="E692" i="4"/>
  <c r="E504" i="4"/>
  <c r="E221" i="4"/>
  <c r="E88" i="4"/>
  <c r="Q635" i="4"/>
  <c r="K233" i="4"/>
  <c r="G82" i="4"/>
  <c r="Q405" i="4"/>
  <c r="K163" i="4"/>
  <c r="G123" i="4"/>
  <c r="Q192" i="4"/>
  <c r="K98" i="4"/>
  <c r="G163" i="4"/>
  <c r="G631" i="4"/>
  <c r="G188" i="4"/>
  <c r="I294" i="4"/>
  <c r="K185" i="4"/>
  <c r="M249" i="4"/>
  <c r="Q482" i="4"/>
  <c r="K154" i="4"/>
  <c r="M207" i="4"/>
  <c r="Q375" i="4"/>
  <c r="K123" i="4"/>
  <c r="M171" i="4"/>
  <c r="Q274" i="4"/>
  <c r="G338" i="4"/>
  <c r="I121" i="4"/>
  <c r="I666" i="4"/>
  <c r="K656" i="4"/>
  <c r="O458" i="4"/>
  <c r="G448" i="4"/>
  <c r="I6" i="4"/>
  <c r="I521" i="4"/>
  <c r="K468" i="4"/>
  <c r="O22" i="4"/>
  <c r="G555" i="4"/>
  <c r="G112" i="4"/>
  <c r="I388" i="4"/>
  <c r="K298" i="4"/>
  <c r="M409" i="4"/>
  <c r="G198" i="4"/>
  <c r="I281" i="4"/>
  <c r="K171" i="4"/>
  <c r="M229" i="4"/>
  <c r="Q421" i="4"/>
  <c r="I153" i="4"/>
  <c r="K12" i="4"/>
  <c r="M20" i="4"/>
  <c r="O594" i="4"/>
  <c r="G418" i="4"/>
  <c r="I37" i="4"/>
  <c r="I563" i="4"/>
  <c r="K516" i="4"/>
  <c r="O124" i="4"/>
  <c r="G528" i="4"/>
  <c r="G85" i="4"/>
  <c r="I423" i="4"/>
  <c r="K338" i="4"/>
  <c r="M479" i="4"/>
  <c r="I531" i="4"/>
  <c r="K406" i="4"/>
  <c r="M468" i="4"/>
  <c r="G78" i="4"/>
  <c r="I403" i="4"/>
  <c r="K253" i="4"/>
  <c r="M254" i="4"/>
  <c r="Q270" i="4"/>
  <c r="O413" i="4"/>
  <c r="O27" i="4"/>
  <c r="I190" i="4"/>
  <c r="I654" i="4"/>
  <c r="K494" i="4"/>
  <c r="M487" i="4"/>
  <c r="Q401" i="4"/>
  <c r="G435" i="4"/>
  <c r="G14" i="4"/>
  <c r="I435" i="4"/>
  <c r="K232" i="4"/>
  <c r="M151" i="4"/>
  <c r="O405" i="4"/>
  <c r="I399" i="4"/>
  <c r="K166" i="4"/>
  <c r="M29" i="4"/>
  <c r="O99" i="4"/>
  <c r="O671" i="4"/>
  <c r="G684" i="4"/>
  <c r="G284" i="4"/>
  <c r="I122" i="4"/>
  <c r="I522" i="4"/>
  <c r="K241" i="4"/>
  <c r="K681" i="4"/>
  <c r="M494" i="4"/>
  <c r="O459" i="4"/>
  <c r="Q486" i="4"/>
  <c r="M160" i="4"/>
  <c r="M696" i="4"/>
  <c r="Q17" i="4"/>
  <c r="I205" i="4"/>
  <c r="I605" i="4"/>
  <c r="K329" i="4"/>
  <c r="M89" i="4"/>
  <c r="M608" i="4"/>
  <c r="O608" i="4"/>
  <c r="Q637" i="4"/>
  <c r="O571" i="4"/>
  <c r="Q603" i="4"/>
  <c r="K640" i="4"/>
  <c r="M445" i="4"/>
  <c r="O396" i="4"/>
  <c r="Q424" i="4"/>
  <c r="O651" i="4"/>
  <c r="Q680" i="4"/>
  <c r="O435" i="4"/>
  <c r="Q463" i="4"/>
  <c r="O219" i="4"/>
  <c r="Q253" i="4"/>
  <c r="K210" i="4"/>
  <c r="K646" i="4"/>
  <c r="M454" i="4"/>
  <c r="O401" i="4"/>
  <c r="Q431" i="4"/>
  <c r="K649" i="4"/>
  <c r="M429" i="4"/>
  <c r="O319" i="4"/>
  <c r="Q279" i="4"/>
  <c r="O356" i="4"/>
  <c r="Q314" i="4"/>
  <c r="O130" i="4"/>
  <c r="O682" i="4"/>
  <c r="Q544" i="4"/>
  <c r="O384" i="4"/>
  <c r="Q246" i="4"/>
  <c r="K627" i="4"/>
  <c r="M378" i="4"/>
  <c r="O194" i="4"/>
  <c r="Q57" i="4"/>
  <c r="Q610" i="4"/>
  <c r="M333" i="4"/>
  <c r="O115" i="4"/>
  <c r="O639" i="4"/>
  <c r="Q472" i="4"/>
  <c r="M511" i="4"/>
  <c r="O238" i="4"/>
  <c r="O659" i="4"/>
  <c r="Q386" i="4"/>
  <c r="O262" i="4"/>
  <c r="O684" i="4"/>
  <c r="Q411" i="4"/>
  <c r="O32" i="4"/>
  <c r="O453" i="4"/>
  <c r="Q180" i="4"/>
  <c r="Q601" i="4"/>
  <c r="K284" i="4"/>
  <c r="K684" i="4"/>
  <c r="M390" i="4"/>
  <c r="O117" i="4"/>
  <c r="O538" i="4"/>
  <c r="Q265" i="4"/>
  <c r="Q687" i="4"/>
  <c r="O83" i="4"/>
  <c r="O483" i="4"/>
  <c r="Q189" i="4"/>
  <c r="Q589" i="4"/>
  <c r="M45" i="4"/>
  <c r="I191" i="4"/>
  <c r="G523" i="4"/>
  <c r="K650" i="4"/>
  <c r="I147" i="4"/>
  <c r="G556" i="4"/>
  <c r="K563" i="4"/>
  <c r="I110" i="4"/>
  <c r="G590" i="4"/>
  <c r="K490" i="4"/>
  <c r="I67" i="4"/>
  <c r="G622" i="4"/>
  <c r="K416" i="4"/>
  <c r="I25" i="4"/>
  <c r="G656" i="4"/>
  <c r="K341" i="4"/>
  <c r="G22" i="4"/>
  <c r="G690" i="4"/>
  <c r="K274" i="4"/>
  <c r="G60" i="4"/>
  <c r="Q519" i="4"/>
  <c r="K200" i="4"/>
  <c r="G102" i="4"/>
  <c r="Q298" i="4"/>
  <c r="K131" i="4"/>
  <c r="G142" i="4"/>
  <c r="Q88" i="4"/>
  <c r="K66" i="4"/>
  <c r="G180" i="4"/>
  <c r="O561" i="4"/>
  <c r="I695" i="4"/>
  <c r="G216" i="4"/>
  <c r="O342" i="4"/>
  <c r="I629" i="4"/>
  <c r="G256" i="4"/>
  <c r="M688" i="4"/>
  <c r="I513" i="4"/>
  <c r="G321" i="4"/>
  <c r="M434" i="4"/>
  <c r="I400" i="4"/>
  <c r="G386" i="4"/>
  <c r="M243" i="4"/>
  <c r="I292" i="4"/>
  <c r="G451" i="4"/>
  <c r="M73" i="4"/>
  <c r="I200" i="4"/>
  <c r="G516" i="4"/>
  <c r="K518" i="4"/>
  <c r="I78" i="4"/>
  <c r="G612" i="4"/>
  <c r="K103" i="4"/>
  <c r="K272" i="4"/>
  <c r="E418" i="4"/>
  <c r="E321" i="4"/>
  <c r="E132" i="4"/>
  <c r="E546" i="4"/>
  <c r="Q403" i="4"/>
  <c r="M169" i="4"/>
  <c r="G470" i="4"/>
  <c r="I360" i="4"/>
  <c r="O499" i="4"/>
  <c r="O55" i="4"/>
  <c r="I394" i="4"/>
  <c r="K225" i="4"/>
  <c r="E613" i="4"/>
  <c r="E436" i="4"/>
  <c r="E388" i="4"/>
  <c r="E480" i="4"/>
  <c r="E534" i="4"/>
  <c r="E261" i="4"/>
  <c r="E533" i="4"/>
  <c r="E153" i="4"/>
  <c r="E311" i="4"/>
  <c r="E97" i="4"/>
  <c r="E555" i="4"/>
  <c r="E284" i="4"/>
  <c r="E497" i="4"/>
  <c r="E673" i="4"/>
  <c r="E234" i="4"/>
  <c r="E93" i="4"/>
  <c r="E167" i="4"/>
  <c r="E47" i="4"/>
  <c r="E69" i="4"/>
  <c r="E308" i="4"/>
  <c r="E58" i="4"/>
  <c r="E372" i="4"/>
  <c r="E687" i="4"/>
  <c r="E149" i="4"/>
  <c r="E171" i="4"/>
  <c r="E378" i="4"/>
  <c r="E384" i="4"/>
  <c r="E659" i="4"/>
  <c r="E545" i="4"/>
  <c r="E671" i="4"/>
  <c r="E586" i="4"/>
  <c r="E401" i="4"/>
  <c r="E524" i="4"/>
  <c r="E53" i="4"/>
  <c r="E359" i="4"/>
  <c r="Q417" i="4"/>
  <c r="K170" i="4"/>
  <c r="G122" i="4"/>
  <c r="Q195" i="4"/>
  <c r="K99" i="4"/>
  <c r="G162" i="4"/>
  <c r="O669" i="4"/>
  <c r="K36" i="4"/>
  <c r="G199" i="4"/>
  <c r="G609" i="4"/>
  <c r="G166" i="4"/>
  <c r="I321" i="4"/>
  <c r="K217" i="4"/>
  <c r="M297" i="4"/>
  <c r="Q588" i="4"/>
  <c r="K186" i="4"/>
  <c r="M251" i="4"/>
  <c r="Q484" i="4"/>
  <c r="K155" i="4"/>
  <c r="M212" i="4"/>
  <c r="Q376" i="4"/>
  <c r="G316" i="4"/>
  <c r="I145" i="4"/>
  <c r="I696" i="4"/>
  <c r="M5" i="4"/>
  <c r="O564" i="4"/>
  <c r="G426" i="4"/>
  <c r="I29" i="4"/>
  <c r="I550" i="4"/>
  <c r="K501" i="4"/>
  <c r="O102" i="4"/>
  <c r="G533" i="4"/>
  <c r="G90" i="4"/>
  <c r="I415" i="4"/>
  <c r="K332" i="4"/>
  <c r="M461" i="4"/>
  <c r="G176" i="4"/>
  <c r="I309" i="4"/>
  <c r="K201" i="4"/>
  <c r="M274" i="4"/>
  <c r="Q521" i="4"/>
  <c r="I177" i="4"/>
  <c r="K41" i="4"/>
  <c r="M59" i="4"/>
  <c r="Q8" i="4"/>
  <c r="G396" i="4"/>
  <c r="I60" i="4"/>
  <c r="I591" i="4"/>
  <c r="K554" i="4"/>
  <c r="O215" i="4"/>
  <c r="G506" i="4"/>
  <c r="G61" i="4"/>
  <c r="I450" i="4"/>
  <c r="K374" i="4"/>
  <c r="M540" i="4"/>
  <c r="I557" i="4"/>
  <c r="K440" i="4"/>
  <c r="M520" i="4"/>
  <c r="G55" i="4"/>
  <c r="I429" i="4"/>
  <c r="K281" i="4"/>
  <c r="M296" i="4"/>
  <c r="Q367" i="4"/>
  <c r="O481" i="4"/>
  <c r="O88" i="4"/>
  <c r="I212" i="4"/>
  <c r="I677" i="4"/>
  <c r="K525" i="4"/>
  <c r="M533" i="4"/>
  <c r="Q480" i="4"/>
  <c r="G414" i="4"/>
  <c r="I13" i="4"/>
  <c r="I458" i="4"/>
  <c r="K257" i="4"/>
  <c r="M182" i="4"/>
  <c r="O478" i="4"/>
  <c r="I421" i="4"/>
  <c r="K191" i="4"/>
  <c r="M60" i="4"/>
  <c r="O155" i="4"/>
  <c r="Q10" i="4"/>
  <c r="G664" i="4"/>
  <c r="G264" i="4"/>
  <c r="I142" i="4"/>
  <c r="I542" i="4"/>
  <c r="K262" i="4"/>
  <c r="M12" i="4"/>
  <c r="M522" i="4"/>
  <c r="O493" i="4"/>
  <c r="Q524" i="4"/>
  <c r="M185" i="4"/>
  <c r="O38" i="4"/>
  <c r="Q59" i="4"/>
  <c r="I225" i="4"/>
  <c r="I625" i="4"/>
  <c r="K350" i="4"/>
  <c r="M114" i="4"/>
  <c r="M639" i="4"/>
  <c r="O646" i="4"/>
  <c r="Q677" i="4"/>
  <c r="O609" i="4"/>
  <c r="Q641" i="4"/>
  <c r="K663" i="4"/>
  <c r="M473" i="4"/>
  <c r="O430" i="4"/>
  <c r="Q460" i="4"/>
  <c r="O688" i="4"/>
  <c r="M504" i="4"/>
  <c r="O469" i="4"/>
  <c r="Q502" i="4"/>
  <c r="O255" i="4"/>
  <c r="Q288" i="4"/>
  <c r="K231" i="4"/>
  <c r="K670" i="4"/>
  <c r="M482" i="4"/>
  <c r="O439" i="4"/>
  <c r="Q467" i="4"/>
  <c r="K671" i="4"/>
  <c r="M455" i="4"/>
  <c r="O355" i="4"/>
  <c r="Q313" i="4"/>
  <c r="O392" i="4"/>
  <c r="Q345" i="4"/>
  <c r="O156" i="4"/>
  <c r="Q18" i="4"/>
  <c r="Q571" i="4"/>
  <c r="O414" i="4"/>
  <c r="Q273" i="4"/>
  <c r="K648" i="4"/>
  <c r="M402" i="4"/>
  <c r="O225" i="4"/>
  <c r="Q83" i="4"/>
  <c r="Q636" i="4"/>
  <c r="M355" i="4"/>
  <c r="O141" i="4"/>
  <c r="O668" i="4"/>
  <c r="Q500" i="4"/>
  <c r="M532" i="4"/>
  <c r="O259" i="4"/>
  <c r="O680" i="4"/>
  <c r="Q407" i="4"/>
  <c r="O284" i="4"/>
  <c r="Q11" i="4"/>
  <c r="Q432" i="4"/>
  <c r="O53" i="4"/>
  <c r="O474" i="4"/>
  <c r="Q201" i="4"/>
  <c r="Q622" i="4"/>
  <c r="K304" i="4"/>
  <c r="M10" i="4"/>
  <c r="M411" i="4"/>
  <c r="O138" i="4"/>
  <c r="O559" i="4"/>
  <c r="Q286" i="4"/>
  <c r="M397" i="4"/>
  <c r="O103" i="4"/>
  <c r="O503" i="4"/>
  <c r="Q209" i="4"/>
  <c r="Q609" i="4"/>
  <c r="K655" i="4"/>
  <c r="I148" i="4"/>
  <c r="G554" i="4"/>
  <c r="K565" i="4"/>
  <c r="I111" i="4"/>
  <c r="G589" i="4"/>
  <c r="K491" i="4"/>
  <c r="I68" i="4"/>
  <c r="G620" i="4"/>
  <c r="K418" i="4"/>
  <c r="I26" i="4"/>
  <c r="G655" i="4"/>
  <c r="K346" i="4"/>
  <c r="G21" i="4"/>
  <c r="G687" i="4"/>
  <c r="K275" i="4"/>
  <c r="G59" i="4"/>
  <c r="Q550" i="4"/>
  <c r="K208" i="4"/>
  <c r="G101" i="4"/>
  <c r="Q320" i="4"/>
  <c r="K133" i="4"/>
  <c r="G141" i="4"/>
  <c r="Q103" i="4"/>
  <c r="K68" i="4"/>
  <c r="G179" i="4"/>
  <c r="O569" i="4"/>
  <c r="K5" i="4"/>
  <c r="G215" i="4"/>
  <c r="O373" i="4"/>
  <c r="I634" i="4"/>
  <c r="G255" i="4"/>
  <c r="O153" i="4"/>
  <c r="I571" i="4"/>
  <c r="G287" i="4"/>
  <c r="M547" i="4"/>
  <c r="I456" i="4"/>
  <c r="G353" i="4"/>
  <c r="M332" i="4"/>
  <c r="I346" i="4"/>
  <c r="G416" i="4"/>
  <c r="M156" i="4"/>
  <c r="I244" i="4"/>
  <c r="G481" i="4"/>
  <c r="K677" i="4"/>
  <c r="I159" i="4"/>
  <c r="G547" i="4"/>
  <c r="K448" i="4"/>
  <c r="I43" i="4"/>
  <c r="G642" i="4"/>
  <c r="M146" i="4"/>
  <c r="M371" i="4"/>
  <c r="E201" i="4"/>
  <c r="E232" i="4"/>
  <c r="E270" i="4"/>
  <c r="G46" i="4"/>
  <c r="K152" i="4"/>
  <c r="I98" i="4"/>
  <c r="K430" i="4"/>
  <c r="K138" i="4"/>
  <c r="I14" i="4"/>
  <c r="G550" i="4"/>
  <c r="M421" i="4"/>
  <c r="M217" i="4"/>
  <c r="E473" i="4"/>
  <c r="E674" i="4"/>
  <c r="E665" i="4"/>
  <c r="E696" i="4"/>
  <c r="E463" i="4"/>
  <c r="E518" i="4"/>
  <c r="E242" i="4"/>
  <c r="E477" i="4"/>
  <c r="E126" i="4"/>
  <c r="E301" i="4"/>
  <c r="E510" i="4"/>
  <c r="E416" i="4"/>
  <c r="E252" i="4"/>
  <c r="E478" i="4"/>
  <c r="E598" i="4"/>
  <c r="E202" i="4"/>
  <c r="E86" i="4"/>
  <c r="E143" i="4"/>
  <c r="E25" i="4"/>
  <c r="E39" i="4"/>
  <c r="E326" i="4"/>
  <c r="E65" i="4"/>
  <c r="E8" i="4"/>
  <c r="E38" i="4"/>
  <c r="E188" i="4"/>
  <c r="E257" i="4"/>
  <c r="E385" i="4"/>
  <c r="E550" i="4"/>
  <c r="E679" i="4"/>
  <c r="E565" i="4"/>
  <c r="E691" i="4"/>
  <c r="E606" i="4"/>
  <c r="E421" i="4"/>
  <c r="E544" i="4"/>
  <c r="E30" i="4"/>
  <c r="E314" i="4"/>
  <c r="Q203" i="4"/>
  <c r="K102" i="4"/>
  <c r="G158" i="4"/>
  <c r="O670" i="4"/>
  <c r="K37" i="4"/>
  <c r="G194" i="4"/>
  <c r="O472" i="4"/>
  <c r="I669" i="4"/>
  <c r="G235" i="4"/>
  <c r="G587" i="4"/>
  <c r="G143" i="4"/>
  <c r="I349" i="4"/>
  <c r="K249" i="4"/>
  <c r="M343" i="4"/>
  <c r="I323" i="4"/>
  <c r="K218" i="4"/>
  <c r="M298" i="4"/>
  <c r="Q590" i="4"/>
  <c r="K187" i="4"/>
  <c r="M255" i="4"/>
  <c r="Q485" i="4"/>
  <c r="G294" i="4"/>
  <c r="I169" i="4"/>
  <c r="K32" i="4"/>
  <c r="M47" i="4"/>
  <c r="O661" i="4"/>
  <c r="G403" i="4"/>
  <c r="I52" i="4"/>
  <c r="I579" i="4"/>
  <c r="K541" i="4"/>
  <c r="O187" i="4"/>
  <c r="G511" i="4"/>
  <c r="G67" i="4"/>
  <c r="I441" i="4"/>
  <c r="K363" i="4"/>
  <c r="M514" i="4"/>
  <c r="G154" i="4"/>
  <c r="I336" i="4"/>
  <c r="K234" i="4"/>
  <c r="M317" i="4"/>
  <c r="Q655" i="4"/>
  <c r="I203" i="4"/>
  <c r="K72" i="4"/>
  <c r="M105" i="4"/>
  <c r="Q114" i="4"/>
  <c r="G374" i="4"/>
  <c r="I85" i="4"/>
  <c r="I618" i="4"/>
  <c r="K593" i="4"/>
  <c r="O310" i="4"/>
  <c r="G483" i="4"/>
  <c r="G38" i="4"/>
  <c r="I476" i="4"/>
  <c r="K410" i="4"/>
  <c r="M596" i="4"/>
  <c r="I583" i="4"/>
  <c r="K471" i="4"/>
  <c r="M579" i="4"/>
  <c r="G33" i="4"/>
  <c r="I454" i="4"/>
  <c r="K314" i="4"/>
  <c r="M337" i="4"/>
  <c r="Q473" i="4"/>
  <c r="O556" i="4"/>
  <c r="O147" i="4"/>
  <c r="I234" i="4"/>
  <c r="K8" i="4"/>
  <c r="K556" i="4"/>
  <c r="M572" i="4"/>
  <c r="Q552" i="4"/>
  <c r="G393" i="4"/>
  <c r="I34" i="4"/>
  <c r="I481" i="4"/>
  <c r="K285" i="4"/>
  <c r="M220" i="4"/>
  <c r="O544" i="4"/>
  <c r="I444" i="4"/>
  <c r="K215" i="4"/>
  <c r="M96" i="4"/>
  <c r="O229" i="4"/>
  <c r="Q45" i="4"/>
  <c r="G644" i="4"/>
  <c r="G244" i="4"/>
  <c r="I162" i="4"/>
  <c r="I562" i="4"/>
  <c r="K283" i="4"/>
  <c r="M37" i="4"/>
  <c r="M548" i="4"/>
  <c r="O530" i="4"/>
  <c r="Q562" i="4"/>
  <c r="M211" i="4"/>
  <c r="O69" i="4"/>
  <c r="Q91" i="4"/>
  <c r="I245" i="4"/>
  <c r="I645" i="4"/>
  <c r="K371" i="4"/>
  <c r="M138" i="4"/>
  <c r="M671" i="4"/>
  <c r="O677" i="4"/>
  <c r="M641" i="4"/>
  <c r="O647" i="4"/>
  <c r="Q678" i="4"/>
  <c r="K687" i="4"/>
  <c r="M502" i="4"/>
  <c r="O466" i="4"/>
  <c r="Q498" i="4"/>
  <c r="Q30" i="4"/>
  <c r="M530" i="4"/>
  <c r="O506" i="4"/>
  <c r="Q535" i="4"/>
  <c r="O293" i="4"/>
  <c r="Q322" i="4"/>
  <c r="K252" i="4"/>
  <c r="K695" i="4"/>
  <c r="M508" i="4"/>
  <c r="O477" i="4"/>
  <c r="Q505" i="4"/>
  <c r="K694" i="4"/>
  <c r="M481" i="4"/>
  <c r="O387" i="4"/>
  <c r="Q343" i="4"/>
  <c r="O421" i="4"/>
  <c r="Q379" i="4"/>
  <c r="O186" i="4"/>
  <c r="Q44" i="4"/>
  <c r="Q598" i="4"/>
  <c r="O440" i="4"/>
  <c r="Q299" i="4"/>
  <c r="K669" i="4"/>
  <c r="M426" i="4"/>
  <c r="O251" i="4"/>
  <c r="Q110" i="4"/>
  <c r="Q666" i="4"/>
  <c r="M377" i="4"/>
  <c r="O167" i="4"/>
  <c r="O693" i="4"/>
  <c r="Q525" i="4"/>
  <c r="M553" i="4"/>
  <c r="O280" i="4"/>
  <c r="Q7" i="4"/>
  <c r="Q428" i="4"/>
  <c r="O305" i="4"/>
  <c r="Q32" i="4"/>
  <c r="Q453" i="4"/>
  <c r="O74" i="4"/>
  <c r="O495" i="4"/>
  <c r="Q222" i="4"/>
  <c r="Q643" i="4"/>
  <c r="K324" i="4"/>
  <c r="M30" i="4"/>
  <c r="M432" i="4"/>
  <c r="O159" i="4"/>
  <c r="O580" i="4"/>
  <c r="Q307" i="4"/>
  <c r="M417" i="4"/>
  <c r="O123" i="4"/>
  <c r="O523" i="4"/>
  <c r="Q229" i="4"/>
  <c r="Q629" i="4"/>
  <c r="K578" i="4"/>
  <c r="I112" i="4"/>
  <c r="G588" i="4"/>
  <c r="K492" i="4"/>
  <c r="I69" i="4"/>
  <c r="G619" i="4"/>
  <c r="K419" i="4"/>
  <c r="I27" i="4"/>
  <c r="G654" i="4"/>
  <c r="K348" i="4"/>
  <c r="G19" i="4"/>
  <c r="G686" i="4"/>
  <c r="K276" i="4"/>
  <c r="G58" i="4"/>
  <c r="Q554" i="4"/>
  <c r="K209" i="4"/>
  <c r="G100" i="4"/>
  <c r="Q336" i="4"/>
  <c r="K145" i="4"/>
  <c r="G139" i="4"/>
  <c r="Q111" i="4"/>
  <c r="K70" i="4"/>
  <c r="G177" i="4"/>
  <c r="O581" i="4"/>
  <c r="K6" i="4"/>
  <c r="G214" i="4"/>
  <c r="O376" i="4"/>
  <c r="I639" i="4"/>
  <c r="G253" i="4"/>
  <c r="O177" i="4"/>
  <c r="I576" i="4"/>
  <c r="G286" i="4"/>
  <c r="M690" i="4"/>
  <c r="I515" i="4"/>
  <c r="G319" i="4"/>
  <c r="M435" i="4"/>
  <c r="I401" i="4"/>
  <c r="G385" i="4"/>
  <c r="M244" i="4"/>
  <c r="I293" i="4"/>
  <c r="G450" i="4"/>
  <c r="M75" i="4"/>
  <c r="I208" i="4"/>
  <c r="G513" i="4"/>
  <c r="K598" i="4"/>
  <c r="I119" i="4"/>
  <c r="G578" i="4"/>
  <c r="K377" i="4"/>
  <c r="G5" i="4"/>
  <c r="G676" i="4"/>
  <c r="I648" i="4"/>
  <c r="K342" i="4"/>
  <c r="E243" i="4"/>
  <c r="E273" i="4"/>
  <c r="E505" i="4"/>
  <c r="K229" i="4"/>
  <c r="Q372" i="4"/>
  <c r="O374" i="4"/>
  <c r="G577" i="4"/>
  <c r="Q325" i="4"/>
  <c r="I534" i="4"/>
  <c r="Q668" i="4"/>
  <c r="E680" i="4"/>
  <c r="E669" i="4"/>
  <c r="E460" i="4"/>
  <c r="E175" i="4"/>
  <c r="E458" i="4"/>
  <c r="E52" i="4"/>
  <c r="E258" i="4"/>
  <c r="E316" i="4"/>
  <c r="E390" i="4"/>
  <c r="E209" i="4"/>
  <c r="E264" i="4"/>
  <c r="E588" i="4"/>
  <c r="E185" i="4"/>
  <c r="E64" i="4"/>
  <c r="E121" i="4"/>
  <c r="E10" i="4"/>
  <c r="E81" i="4"/>
  <c r="E346" i="4"/>
  <c r="E82" i="4"/>
  <c r="E24" i="4"/>
  <c r="E170" i="4"/>
  <c r="E192" i="4"/>
  <c r="E334" i="4"/>
  <c r="E250" i="4"/>
  <c r="E590" i="4"/>
  <c r="E402" i="4"/>
  <c r="E585" i="4"/>
  <c r="E483" i="4"/>
  <c r="E626" i="4"/>
  <c r="E441" i="4"/>
  <c r="E564" i="4"/>
  <c r="E351" i="4"/>
  <c r="E179" i="4"/>
  <c r="Q3" i="4"/>
  <c r="K39" i="4"/>
  <c r="G193" i="4"/>
  <c r="O479" i="4"/>
  <c r="I671" i="4"/>
  <c r="G234" i="4"/>
  <c r="O279" i="4"/>
  <c r="I612" i="4"/>
  <c r="G269" i="4"/>
  <c r="G565" i="4"/>
  <c r="G121" i="4"/>
  <c r="I378" i="4"/>
  <c r="K282" i="4"/>
  <c r="M388" i="4"/>
  <c r="I352" i="4"/>
  <c r="K250" i="4"/>
  <c r="M344" i="4"/>
  <c r="I326" i="4"/>
  <c r="K219" i="4"/>
  <c r="M299" i="4"/>
  <c r="Q592" i="4"/>
  <c r="G272" i="4"/>
  <c r="I194" i="4"/>
  <c r="K63" i="4"/>
  <c r="M88" i="4"/>
  <c r="Q66" i="4"/>
  <c r="G381" i="4"/>
  <c r="I75" i="4"/>
  <c r="I609" i="4"/>
  <c r="K580" i="4"/>
  <c r="O275" i="4"/>
  <c r="G489" i="4"/>
  <c r="G43" i="4"/>
  <c r="I471" i="4"/>
  <c r="K401" i="4"/>
  <c r="M585" i="4"/>
  <c r="G132" i="4"/>
  <c r="I363" i="4"/>
  <c r="K267" i="4"/>
  <c r="M364" i="4"/>
  <c r="G241" i="4"/>
  <c r="I230" i="4"/>
  <c r="K106" i="4"/>
  <c r="M148" i="4"/>
  <c r="Q224" i="4"/>
  <c r="G352" i="4"/>
  <c r="I108" i="4"/>
  <c r="I649" i="4"/>
  <c r="K632" i="4"/>
  <c r="O404" i="4"/>
  <c r="G461" i="4"/>
  <c r="G15" i="4"/>
  <c r="I503" i="4"/>
  <c r="K447" i="4"/>
  <c r="M668" i="4"/>
  <c r="I610" i="4"/>
  <c r="K502" i="4"/>
  <c r="M636" i="4"/>
  <c r="G11" i="4"/>
  <c r="I479" i="4"/>
  <c r="K345" i="4"/>
  <c r="M380" i="4"/>
  <c r="Q561" i="4"/>
  <c r="O627" i="4"/>
  <c r="O205" i="4"/>
  <c r="I256" i="4"/>
  <c r="K33" i="4"/>
  <c r="K586" i="4"/>
  <c r="M625" i="4"/>
  <c r="Q625" i="4"/>
  <c r="G372" i="4"/>
  <c r="I55" i="4"/>
  <c r="I506" i="4"/>
  <c r="K313" i="4"/>
  <c r="M253" i="4"/>
  <c r="O606" i="4"/>
  <c r="I467" i="4"/>
  <c r="K239" i="4"/>
  <c r="M127" i="4"/>
  <c r="O292" i="4"/>
  <c r="Q84" i="4"/>
  <c r="G624" i="4"/>
  <c r="G224" i="4"/>
  <c r="I182" i="4"/>
  <c r="I582" i="4"/>
  <c r="K305" i="4"/>
  <c r="M61" i="4"/>
  <c r="M576" i="4"/>
  <c r="O567" i="4"/>
  <c r="Q594" i="4"/>
  <c r="M235" i="4"/>
  <c r="O101" i="4"/>
  <c r="Q126" i="4"/>
  <c r="I265" i="4"/>
  <c r="I665" i="4"/>
  <c r="K392" i="4"/>
  <c r="M164" i="4"/>
  <c r="O8" i="4"/>
  <c r="Q23" i="4"/>
  <c r="M672" i="4"/>
  <c r="O681" i="4"/>
  <c r="K268" i="4"/>
  <c r="M18" i="4"/>
  <c r="M528" i="4"/>
  <c r="O504" i="4"/>
  <c r="Q532" i="4"/>
  <c r="Q64" i="4"/>
  <c r="M560" i="4"/>
  <c r="O542" i="4"/>
  <c r="Q570" i="4"/>
  <c r="O332" i="4"/>
  <c r="Q360" i="4"/>
  <c r="K273" i="4"/>
  <c r="M25" i="4"/>
  <c r="M535" i="4"/>
  <c r="O510" i="4"/>
  <c r="Q543" i="4"/>
  <c r="M23" i="4"/>
  <c r="M506" i="4"/>
  <c r="O420" i="4"/>
  <c r="Q377" i="4"/>
  <c r="O455" i="4"/>
  <c r="Q414" i="4"/>
  <c r="O212" i="4"/>
  <c r="Q72" i="4"/>
  <c r="Q627" i="4"/>
  <c r="O467" i="4"/>
  <c r="Q330" i="4"/>
  <c r="K691" i="4"/>
  <c r="M451" i="4"/>
  <c r="O277" i="4"/>
  <c r="Q140" i="4"/>
  <c r="Q695" i="4"/>
  <c r="M400" i="4"/>
  <c r="O192" i="4"/>
  <c r="Q24" i="4"/>
  <c r="Q551" i="4"/>
  <c r="M574" i="4"/>
  <c r="O301" i="4"/>
  <c r="Q28" i="4"/>
  <c r="Q450" i="4"/>
  <c r="O326" i="4"/>
  <c r="Q53" i="4"/>
  <c r="Q474" i="4"/>
  <c r="O95" i="4"/>
  <c r="O516" i="4"/>
  <c r="Q243" i="4"/>
  <c r="Q664" i="4"/>
  <c r="K344" i="4"/>
  <c r="M50" i="4"/>
  <c r="M453" i="4"/>
  <c r="O180" i="4"/>
  <c r="O601" i="4"/>
  <c r="Q328" i="4"/>
  <c r="M437" i="4"/>
  <c r="O143" i="4"/>
  <c r="O543" i="4"/>
  <c r="Q249" i="4"/>
  <c r="Q649" i="4"/>
  <c r="K497" i="4"/>
  <c r="I71" i="4"/>
  <c r="G618" i="4"/>
  <c r="K420" i="4"/>
  <c r="I30" i="4"/>
  <c r="G652" i="4"/>
  <c r="K349" i="4"/>
  <c r="G13" i="4"/>
  <c r="G685" i="4"/>
  <c r="K277" i="4"/>
  <c r="G57" i="4"/>
  <c r="Q564" i="4"/>
  <c r="K211" i="4"/>
  <c r="G97" i="4"/>
  <c r="Q338" i="4"/>
  <c r="K146" i="4"/>
  <c r="G136" i="4"/>
  <c r="Q123" i="4"/>
  <c r="K80" i="4"/>
  <c r="G172" i="4"/>
  <c r="O590" i="4"/>
  <c r="K9" i="4"/>
  <c r="G213" i="4"/>
  <c r="O378" i="4"/>
  <c r="I640" i="4"/>
  <c r="G252" i="4"/>
  <c r="O188" i="4"/>
  <c r="I580" i="4"/>
  <c r="G282" i="4"/>
  <c r="O6" i="4"/>
  <c r="I519" i="4"/>
  <c r="G318" i="4"/>
  <c r="M551" i="4"/>
  <c r="I457" i="4"/>
  <c r="G349" i="4"/>
  <c r="M341" i="4"/>
  <c r="I347" i="4"/>
  <c r="G415" i="4"/>
  <c r="M157" i="4"/>
  <c r="I250" i="4"/>
  <c r="G480" i="4"/>
  <c r="K680" i="4"/>
  <c r="I161" i="4"/>
  <c r="G546" i="4"/>
  <c r="K520" i="4"/>
  <c r="I80" i="4"/>
  <c r="G611" i="4"/>
  <c r="K306" i="4"/>
  <c r="G45" i="4"/>
  <c r="M322" i="4"/>
  <c r="Q211" i="4"/>
  <c r="Q658" i="4"/>
  <c r="E493" i="4"/>
  <c r="E135" i="4"/>
  <c r="E619" i="4"/>
  <c r="Q624" i="4"/>
  <c r="M206" i="4"/>
  <c r="K618" i="4"/>
  <c r="I494" i="4"/>
  <c r="M357" i="4"/>
  <c r="G440" i="4"/>
  <c r="M422" i="4"/>
  <c r="E657" i="4"/>
  <c r="E648" i="4"/>
  <c r="E663" i="4"/>
  <c r="E595" i="4"/>
  <c r="E420" i="4"/>
  <c r="E689" i="4"/>
  <c r="E397" i="4"/>
  <c r="E596" i="4"/>
  <c r="E206" i="4"/>
  <c r="E238" i="4"/>
  <c r="E352" i="4"/>
  <c r="E195" i="4"/>
  <c r="E246" i="4"/>
  <c r="E355" i="4"/>
  <c r="E108" i="4"/>
  <c r="E144" i="4"/>
  <c r="E48" i="4"/>
  <c r="E428" i="4"/>
  <c r="E113" i="4"/>
  <c r="E4" i="4"/>
  <c r="E96" i="4"/>
  <c r="E140" i="4"/>
  <c r="E219" i="4"/>
  <c r="E249" i="4"/>
  <c r="E349" i="4"/>
  <c r="E330" i="4"/>
  <c r="E630" i="4"/>
  <c r="E422" i="4"/>
  <c r="E605" i="4"/>
  <c r="E503" i="4"/>
  <c r="E646" i="4"/>
  <c r="E461" i="4"/>
  <c r="E584" i="4"/>
  <c r="E306" i="4"/>
  <c r="E44" i="4"/>
  <c r="O488" i="4"/>
  <c r="I673" i="4"/>
  <c r="G233" i="4"/>
  <c r="O298" i="4"/>
  <c r="I613" i="4"/>
  <c r="G266" i="4"/>
  <c r="O108" i="4"/>
  <c r="I551" i="4"/>
  <c r="G300" i="4"/>
  <c r="G542" i="4"/>
  <c r="G99" i="4"/>
  <c r="I406" i="4"/>
  <c r="K319" i="4"/>
  <c r="M439" i="4"/>
  <c r="I379" i="4"/>
  <c r="K286" i="4"/>
  <c r="M391" i="4"/>
  <c r="I353" i="4"/>
  <c r="K254" i="4"/>
  <c r="M347" i="4"/>
  <c r="G693" i="4"/>
  <c r="G250" i="4"/>
  <c r="I219" i="4"/>
  <c r="K95" i="4"/>
  <c r="M132" i="4"/>
  <c r="Q188" i="4"/>
  <c r="G359" i="4"/>
  <c r="I99" i="4"/>
  <c r="I638" i="4"/>
  <c r="K620" i="4"/>
  <c r="O375" i="4"/>
  <c r="G467" i="4"/>
  <c r="G20" i="4"/>
  <c r="I497" i="4"/>
  <c r="K434" i="4"/>
  <c r="M653" i="4"/>
  <c r="G110" i="4"/>
  <c r="I391" i="4"/>
  <c r="K300" i="4"/>
  <c r="M415" i="4"/>
  <c r="G219" i="4"/>
  <c r="I255" i="4"/>
  <c r="K140" i="4"/>
  <c r="M192" i="4"/>
  <c r="Q332" i="4"/>
  <c r="G329" i="4"/>
  <c r="I131" i="4"/>
  <c r="I676" i="4"/>
  <c r="K673" i="4"/>
  <c r="O513" i="4"/>
  <c r="G439" i="4"/>
  <c r="I15" i="4"/>
  <c r="I535" i="4"/>
  <c r="K482" i="4"/>
  <c r="O56" i="4"/>
  <c r="I635" i="4"/>
  <c r="K536" i="4"/>
  <c r="O14" i="4"/>
  <c r="I17" i="4"/>
  <c r="I507" i="4"/>
  <c r="K376" i="4"/>
  <c r="M424" i="4"/>
  <c r="Q670" i="4"/>
  <c r="Q5" i="4"/>
  <c r="O273" i="4"/>
  <c r="I279" i="4"/>
  <c r="K58" i="4"/>
  <c r="K619" i="4"/>
  <c r="M678" i="4"/>
  <c r="Q630" i="4"/>
  <c r="G351" i="4"/>
  <c r="I76" i="4"/>
  <c r="I529" i="4"/>
  <c r="K340" i="4"/>
  <c r="M291" i="4"/>
  <c r="O691" i="4"/>
  <c r="I489" i="4"/>
  <c r="K265" i="4"/>
  <c r="M158" i="4"/>
  <c r="O345" i="4"/>
  <c r="Q122" i="4"/>
  <c r="G604" i="4"/>
  <c r="G204" i="4"/>
  <c r="I202" i="4"/>
  <c r="I602" i="4"/>
  <c r="K326" i="4"/>
  <c r="M86" i="4"/>
  <c r="M605" i="4"/>
  <c r="O604" i="4"/>
  <c r="Q632" i="4"/>
  <c r="M259" i="4"/>
  <c r="O134" i="4"/>
  <c r="Q165" i="4"/>
  <c r="I285" i="4"/>
  <c r="I686" i="4"/>
  <c r="K415" i="4"/>
  <c r="M188" i="4"/>
  <c r="O40" i="4"/>
  <c r="Q61" i="4"/>
  <c r="O10" i="4"/>
  <c r="Q25" i="4"/>
  <c r="K289" i="4"/>
  <c r="M43" i="4"/>
  <c r="M555" i="4"/>
  <c r="O540" i="4"/>
  <c r="Q567" i="4"/>
  <c r="Q100" i="4"/>
  <c r="M586" i="4"/>
  <c r="O576" i="4"/>
  <c r="Q612" i="4"/>
  <c r="O366" i="4"/>
  <c r="Q397" i="4"/>
  <c r="K294" i="4"/>
  <c r="M49" i="4"/>
  <c r="M563" i="4"/>
  <c r="O547" i="4"/>
  <c r="Q582" i="4"/>
  <c r="M46" i="4"/>
  <c r="M531" i="4"/>
  <c r="O451" i="4"/>
  <c r="Q408" i="4"/>
  <c r="O486" i="4"/>
  <c r="Q444" i="4"/>
  <c r="O239" i="4"/>
  <c r="Q101" i="4"/>
  <c r="Q654" i="4"/>
  <c r="O497" i="4"/>
  <c r="Q356" i="4"/>
  <c r="M19" i="4"/>
  <c r="M476" i="4"/>
  <c r="O308" i="4"/>
  <c r="Q166" i="4"/>
  <c r="K688" i="4"/>
  <c r="M423" i="4"/>
  <c r="O218" i="4"/>
  <c r="Q51" i="4"/>
  <c r="Q577" i="4"/>
  <c r="M595" i="4"/>
  <c r="O322" i="4"/>
  <c r="Q50" i="4"/>
  <c r="Q471" i="4"/>
  <c r="O347" i="4"/>
  <c r="Q74" i="4"/>
  <c r="Q495" i="4"/>
  <c r="O116" i="4"/>
  <c r="O537" i="4"/>
  <c r="Q264" i="4"/>
  <c r="Q686" i="4"/>
  <c r="K364" i="4"/>
  <c r="M70" i="4"/>
  <c r="M474" i="4"/>
  <c r="O201" i="4"/>
  <c r="O622" i="4"/>
  <c r="Q350" i="4"/>
  <c r="M457" i="4"/>
  <c r="O163" i="4"/>
  <c r="O563" i="4"/>
  <c r="Q269" i="4"/>
  <c r="Q669" i="4"/>
  <c r="K428" i="4"/>
  <c r="I31" i="4"/>
  <c r="G651" i="4"/>
  <c r="K353" i="4"/>
  <c r="G12" i="4"/>
  <c r="G681" i="4"/>
  <c r="K278" i="4"/>
  <c r="G54" i="4"/>
  <c r="Q585" i="4"/>
  <c r="K212" i="4"/>
  <c r="G96" i="4"/>
  <c r="Q339" i="4"/>
  <c r="K148" i="4"/>
  <c r="G135" i="4"/>
  <c r="Q124" i="4"/>
  <c r="K81" i="4"/>
  <c r="G171" i="4"/>
  <c r="O598" i="4"/>
  <c r="K16" i="4"/>
  <c r="G212" i="4"/>
  <c r="O381" i="4"/>
  <c r="I643" i="4"/>
  <c r="G251" i="4"/>
  <c r="O189" i="4"/>
  <c r="I581" i="4"/>
  <c r="G281" i="4"/>
  <c r="O24" i="4"/>
  <c r="I523" i="4"/>
  <c r="G317" i="4"/>
  <c r="M566" i="4"/>
  <c r="I463" i="4"/>
  <c r="G348" i="4"/>
  <c r="M438" i="4"/>
  <c r="I404" i="4"/>
  <c r="G383" i="4"/>
  <c r="M247" i="4"/>
  <c r="I296" i="4"/>
  <c r="G447" i="4"/>
  <c r="M76" i="4"/>
  <c r="I209" i="4"/>
  <c r="G512" i="4"/>
  <c r="K600" i="4"/>
  <c r="I120" i="4"/>
  <c r="G576" i="4"/>
  <c r="K449" i="4"/>
  <c r="I44" i="4"/>
  <c r="G641" i="4"/>
  <c r="K238" i="4"/>
  <c r="G81" i="4"/>
  <c r="Q593" i="4"/>
  <c r="F697" i="3"/>
  <c r="G697" i="3"/>
  <c r="H697" i="3"/>
  <c r="J697" i="3"/>
  <c r="I697" i="3"/>
  <c r="K697" i="3"/>
  <c r="E697" i="3"/>
  <c r="K697" i="4" l="1"/>
  <c r="E697" i="4"/>
  <c r="M697" i="4"/>
  <c r="Q697" i="4"/>
  <c r="O697" i="4"/>
  <c r="I697" i="4"/>
  <c r="G697" i="4"/>
</calcChain>
</file>

<file path=xl/sharedStrings.xml><?xml version="1.0" encoding="utf-8"?>
<sst xmlns="http://schemas.openxmlformats.org/spreadsheetml/2006/main" count="4227" uniqueCount="778">
  <si>
    <t>June</t>
  </si>
  <si>
    <t>Area</t>
  </si>
  <si>
    <t>Plaza Name</t>
  </si>
  <si>
    <t>Division-01</t>
  </si>
  <si>
    <t>Dhaka Central Area</t>
  </si>
  <si>
    <t>Walton Plaza-Ati Bazar</t>
  </si>
  <si>
    <t>Walton Plaza-Azimpur</t>
  </si>
  <si>
    <t>Walton Plaza-Banglamotor</t>
  </si>
  <si>
    <t>Walton Plaza-Bangshal</t>
  </si>
  <si>
    <t>Walton Plaza-Bosila, Mohammadpur</t>
  </si>
  <si>
    <t>Walton Plaza-Chakbazar, Dhaka</t>
  </si>
  <si>
    <t>Walton Plaza-Elephant Road, Dhaka</t>
  </si>
  <si>
    <t>Walton Plaza-Kalindi, Keranigonj</t>
  </si>
  <si>
    <t>Walton Plaza-Kamrangirchar</t>
  </si>
  <si>
    <t>Walton Plaza-Kazla, Jatrabari</t>
  </si>
  <si>
    <t>Walton Plaza-Ramerkanda</t>
  </si>
  <si>
    <t>Walton Plaza-Rayer Bazar, Mohammadpur</t>
  </si>
  <si>
    <t>Walton Plaza-South Jatrabari</t>
  </si>
  <si>
    <t>Walton Plaza-Syedabad</t>
  </si>
  <si>
    <t>Walton Plaza-Tikatoli</t>
  </si>
  <si>
    <t>Dhaka North Area</t>
  </si>
  <si>
    <t>Walton Plaza-Atipara Bazar</t>
  </si>
  <si>
    <t>Walton Plaza-Bonomala Road</t>
  </si>
  <si>
    <t>Walton Plaza-Dewra, Gazipur</t>
  </si>
  <si>
    <t>Walton Plaza-Gazipura 27</t>
  </si>
  <si>
    <t>Walton Plaza-Gorib E Newaz Avenue,Uttara West</t>
  </si>
  <si>
    <t>Walton Plaza-Gulgula More, Turag</t>
  </si>
  <si>
    <t>Walton Plaza-Hossain Market, Tongi, Gazipur</t>
  </si>
  <si>
    <t>Walton Plaza-Kaliganj, Gazipur</t>
  </si>
  <si>
    <t>Walton Plaza-Kuril</t>
  </si>
  <si>
    <t>Walton Plaza-Mirerbazar, Gazipur</t>
  </si>
  <si>
    <t>Walton Plaza-Nikunju, Dhaka</t>
  </si>
  <si>
    <t>Walton Plaza-Satarkul, Badda, Dhaka</t>
  </si>
  <si>
    <t>Walton Plaza-Shah Mokhdum Avenue, Uttara</t>
  </si>
  <si>
    <t>Walton Plaza-Shilmoon, Tongi</t>
  </si>
  <si>
    <t>Walton Plaza-Uttara</t>
  </si>
  <si>
    <t>Dhaka South Area</t>
  </si>
  <si>
    <t>Walton Plaza-Abdullapur(Keranigonj)</t>
  </si>
  <si>
    <t>Walton Plaza-Baraikhali Bazar, Sreenagar</t>
  </si>
  <si>
    <t>Walton Plaza-Dolessor</t>
  </si>
  <si>
    <t>Walton Plaza-Galimpur, Nawabgonj</t>
  </si>
  <si>
    <t>Walton Plaza-Ichhapura</t>
  </si>
  <si>
    <t>Walton Plaza-Joypara</t>
  </si>
  <si>
    <t>Walton Plaza-Keranigonj</t>
  </si>
  <si>
    <t>Walton Plaza-Khezurbag</t>
  </si>
  <si>
    <t>Walton Plaza-Malir Ongko,Louhajong, Munshiganj</t>
  </si>
  <si>
    <t>Walton Plaza-Meghula, Dohar</t>
  </si>
  <si>
    <t>Walton Plaza-Munshigonj</t>
  </si>
  <si>
    <t>Walton Plaza-Nawabgonj, Dhaka</t>
  </si>
  <si>
    <t>Walton Plaza-Panchasar, Munshigonj</t>
  </si>
  <si>
    <t>Walton Plaza-Sirajdikhan</t>
  </si>
  <si>
    <t>Walton Plaza-Sreenagar</t>
  </si>
  <si>
    <t>Walton Plaza-Tongibari, Munshigonj</t>
  </si>
  <si>
    <t>Mirpur Area</t>
  </si>
  <si>
    <t>Walton Plaza-Bijoy Sharani</t>
  </si>
  <si>
    <t>Walton Plaza-Kachukhet</t>
  </si>
  <si>
    <t>Walton Plaza-Kallyanpur, Dhaka</t>
  </si>
  <si>
    <t>Walton Plaza-Kazipara</t>
  </si>
  <si>
    <t>Walton Plaza-Mazar Road(Gabtoli)</t>
  </si>
  <si>
    <t>Walton Plaza-Mirpur-1</t>
  </si>
  <si>
    <t>Walton Plaza-Mirpur-10</t>
  </si>
  <si>
    <t>Walton Plaza-Mirpur-11</t>
  </si>
  <si>
    <t>Walton Plaza-Proshika More, Mirpur06</t>
  </si>
  <si>
    <t>Walton Plaza-Rupnagar</t>
  </si>
  <si>
    <t>Walton Plaza-Shagufta, Mirpur</t>
  </si>
  <si>
    <t>Walton Plaza-Shewrapara</t>
  </si>
  <si>
    <t>Rampura Area</t>
  </si>
  <si>
    <t>Walton Plaza-Banasree</t>
  </si>
  <si>
    <t>Walton Plaza-Bashabo, Dhaka</t>
  </si>
  <si>
    <t>Walton Plaza-Dogair, Demra</t>
  </si>
  <si>
    <t>Walton Plaza-Dokkin Banasree, Dhaka</t>
  </si>
  <si>
    <t>Walton Plaza-Khilgaon</t>
  </si>
  <si>
    <t>Walton Plaza-Magbazar</t>
  </si>
  <si>
    <t>Walton Plaza-Malibagh</t>
  </si>
  <si>
    <t>Walton Plaza-Manda, Mugda</t>
  </si>
  <si>
    <t>Walton Plaza-Mohakhali</t>
  </si>
  <si>
    <t>Walton Plaza-MS Tower, Demra</t>
  </si>
  <si>
    <t>Walton Plaza-Nandipara, Khilgaon</t>
  </si>
  <si>
    <t>Walton Plaza-Palton</t>
  </si>
  <si>
    <t>Walton Plaza-Rampura</t>
  </si>
  <si>
    <t>Walton Plaza-Shantinagar, Dhaka</t>
  </si>
  <si>
    <t>Walton Plaza-Sipahibag, Khilgaon</t>
  </si>
  <si>
    <t>Division-02</t>
  </si>
  <si>
    <t>Chandra Area</t>
  </si>
  <si>
    <t>Walton Plaza-Baranda, Kashimpur, Gazipur</t>
  </si>
  <si>
    <t>Walton Plaza-Baroipara</t>
  </si>
  <si>
    <t>Walton Plaza-Bashtoil, Mirzapur</t>
  </si>
  <si>
    <t>Walton Plaza-Boad Ghor, Kaliakur</t>
  </si>
  <si>
    <t>Walton Plaza-Chandra</t>
  </si>
  <si>
    <t>Walton Plaza-Kaliakoir</t>
  </si>
  <si>
    <t>Walton Plaza-Mirzapur</t>
  </si>
  <si>
    <t>Walton Plaza-Pakullah, Tangail</t>
  </si>
  <si>
    <t>Walton Plaza-Panishail, Kashimpur, Gazipur</t>
  </si>
  <si>
    <t>Walton Plaza-Saradagong, Kasimpur</t>
  </si>
  <si>
    <t>Walton Plaza-Sohagpur, Mirzapur</t>
  </si>
  <si>
    <t>Walton Plaza-Vadail, Ashulia</t>
  </si>
  <si>
    <t>Walton Plaza-Zirani Bazar, Ashulia</t>
  </si>
  <si>
    <t>Dhaka West Area</t>
  </si>
  <si>
    <t>Walton Plaza-Ashulia</t>
  </si>
  <si>
    <t>Walton Plaza-Baipail</t>
  </si>
  <si>
    <t>Walton Plaza-Bus Stand, Savar</t>
  </si>
  <si>
    <t>Walton Plaza-Hemayetpur</t>
  </si>
  <si>
    <t>Walton Plaza-Jamgora, Ashulia</t>
  </si>
  <si>
    <t>Walton Plaza-Kolma, Savar</t>
  </si>
  <si>
    <t>Walton Plaza-Kurgaon, Savar</t>
  </si>
  <si>
    <t>Walton Plaza-Norosinghopur, Ashulia</t>
  </si>
  <si>
    <t>Walton Plaza-Palli Biddut, Ashulia, Savar</t>
  </si>
  <si>
    <t>Walton Plaza-Pokurpar, Ashulia</t>
  </si>
  <si>
    <t>Walton Plaza-Radio Colony, Savar</t>
  </si>
  <si>
    <t>Walton Plaza-Rajashon, Savar</t>
  </si>
  <si>
    <t>Walton Plaza-Rajfulbaria, Savar</t>
  </si>
  <si>
    <t>Walton Plaza-Savar</t>
  </si>
  <si>
    <t>Manikganj Area</t>
  </si>
  <si>
    <t>Walton Plaza-Bus Stand, Manikgonj</t>
  </si>
  <si>
    <t>Walton Plaza-Daulatpur, Manikgonj</t>
  </si>
  <si>
    <t>Walton Plaza-Dhamrai</t>
  </si>
  <si>
    <t>Walton Plaza-Ghior, Manikgonj</t>
  </si>
  <si>
    <t>Walton Plaza-Harirampur, Manikgonj</t>
  </si>
  <si>
    <t>Walton Plaza-Kalampur, Dhamrai</t>
  </si>
  <si>
    <t>Walton Plaza-Kawalipara, Dhamrai</t>
  </si>
  <si>
    <t>Walton Plaza-Manikgonj</t>
  </si>
  <si>
    <t>Walton Plaza-Nagarpur</t>
  </si>
  <si>
    <t>Walton Plaza-Shahorail, Singair, Manikgonj</t>
  </si>
  <si>
    <t>Walton Plaza-Singair, Manikgonj</t>
  </si>
  <si>
    <t>Walton Plaza-Tepra, Shibalaya, Manikgonj</t>
  </si>
  <si>
    <t>Walton Plaza-Zamsha, Singair, Manikgonj</t>
  </si>
  <si>
    <t>Sirajgonj Area</t>
  </si>
  <si>
    <t>Walton Plaza-Belkuchi</t>
  </si>
  <si>
    <t>Walton Plaza-Kamarkhand, Sirajgonj</t>
  </si>
  <si>
    <t>Walton Plaza-Nimgachi, Sirajgonj</t>
  </si>
  <si>
    <t>Walton Plaza-Pipulbaria, Sirajganj</t>
  </si>
  <si>
    <t>Walton Plaza-S.S Road, Sirajgonj</t>
  </si>
  <si>
    <t>Walton Plaza-Shahzadpur, Sirajganj</t>
  </si>
  <si>
    <t>Walton Plaza-Sirajgonj</t>
  </si>
  <si>
    <t>Walton Plaza-Solonga, Sirajgonj</t>
  </si>
  <si>
    <t>Walton Plaza-Tarash, Sirajgonj</t>
  </si>
  <si>
    <t>Walton Plaza-Ullahpara</t>
  </si>
  <si>
    <t>Tangail Area</t>
  </si>
  <si>
    <t>Walton Plaza-Adalot Road, Tangail</t>
  </si>
  <si>
    <t>Walton Plaza-Bhuapur, Tangail</t>
  </si>
  <si>
    <t>Walton Plaza-Delduar, Tangail</t>
  </si>
  <si>
    <t>Walton Plaza-Dhanbari, Tangail</t>
  </si>
  <si>
    <t>Walton Plaza-Ghatail</t>
  </si>
  <si>
    <t>Walton Plaza-Kalihati</t>
  </si>
  <si>
    <t>Walton Plaza-Karatia</t>
  </si>
  <si>
    <t>Walton Plaza-Modhupur</t>
  </si>
  <si>
    <t>Walton Plaza-Mymensingh Road, Tangail</t>
  </si>
  <si>
    <t>Walton Plaza-Pakutia, Ghatail</t>
  </si>
  <si>
    <t>Walton Plaza-Sagardighi, Tangail</t>
  </si>
  <si>
    <t>Walton Plaza-Sakhipur</t>
  </si>
  <si>
    <t>Walton Plaza-Zilla Sadar Road, Tangail</t>
  </si>
  <si>
    <t>Division-03</t>
  </si>
  <si>
    <t>Gazipur East Area</t>
  </si>
  <si>
    <t>Walton Plaza-1 No C and B, Gazipur</t>
  </si>
  <si>
    <t>Walton Plaza-Amraid, Gazipur</t>
  </si>
  <si>
    <t>Walton Plaza-Bagher Bazar, Gazipur</t>
  </si>
  <si>
    <t>Walton Plaza-Banglabazar, Gazipur</t>
  </si>
  <si>
    <t>Walton Plaza-Bhawal, Mirzapur</t>
  </si>
  <si>
    <t>Walton Plaza-BIDC Road</t>
  </si>
  <si>
    <t>Walton Plaza-Bormi, Sreepur</t>
  </si>
  <si>
    <t>Walton Plaza-Hotapara</t>
  </si>
  <si>
    <t>Walton Plaza-Joina Bazar, Gazipur</t>
  </si>
  <si>
    <t>Walton Plaza-Kapasia, Gazipur</t>
  </si>
  <si>
    <t>Walton Plaza-Mawna</t>
  </si>
  <si>
    <t>Walton Plaza-Rajabari, Gazipur</t>
  </si>
  <si>
    <t>Walton Plaza-Salna, Gazipur</t>
  </si>
  <si>
    <t>Walton Plaza-Sreepur, Gazipur</t>
  </si>
  <si>
    <t>Walton Plaza-Tok Bazar</t>
  </si>
  <si>
    <t>Gazipur West Area</t>
  </si>
  <si>
    <t>Walton Plaza-Ambag</t>
  </si>
  <si>
    <t>Walton Plaza-Board Bazar</t>
  </si>
  <si>
    <t>Walton Plaza-Degerchala, Gazipur</t>
  </si>
  <si>
    <t>Walton Plaza-Fulbaria, Kaliakoir</t>
  </si>
  <si>
    <t>Walton Plaza-Harinal Bazar</t>
  </si>
  <si>
    <t>Walton Plaza-Harinhati, Pallibidyut, Kaliakoir</t>
  </si>
  <si>
    <t>Walton Plaza-Hatimara, Gazipur</t>
  </si>
  <si>
    <t>Walton Plaza-Joydevpur</t>
  </si>
  <si>
    <t>Walton Plaza-Konabari, Gazipur</t>
  </si>
  <si>
    <t>Walton Plaza-Mouchak</t>
  </si>
  <si>
    <t>Walton Plaza-Shafipur</t>
  </si>
  <si>
    <t>Walton Plaza-Vawal Point</t>
  </si>
  <si>
    <t>Walton Plaza-Vogra, Gazipur</t>
  </si>
  <si>
    <t>Jamalpur Area</t>
  </si>
  <si>
    <t>Walton Plaza-Bakshiganj</t>
  </si>
  <si>
    <t>Walton Plaza-Bypass, Jamalpur</t>
  </si>
  <si>
    <t>Walton Plaza-Dewangonj, Jamalpur</t>
  </si>
  <si>
    <t>Walton Plaza-Digpaith, Jamalpur</t>
  </si>
  <si>
    <t>Walton Plaza-Islampur, Jamalpur</t>
  </si>
  <si>
    <t>Walton Plaza-Jamalpur</t>
  </si>
  <si>
    <t>Walton Plaza-Madarganj, Jamalpur</t>
  </si>
  <si>
    <t>Walton Plaza-Mahamoodpur, Melandah</t>
  </si>
  <si>
    <t>Walton Plaza-Nandina, Jamalpur</t>
  </si>
  <si>
    <t>Walton Plaza-Rajibpur, Kurigram</t>
  </si>
  <si>
    <t>Walton Plaza-Rowmari, Kurigram</t>
  </si>
  <si>
    <t>Walton Plaza-Sanondabari Bazar, Dewangonj</t>
  </si>
  <si>
    <t>Walton Plaza-Sarishabari</t>
  </si>
  <si>
    <t>Walton Plaza-Sherpur</t>
  </si>
  <si>
    <t>Walton Plaza-Sreebordi, Sherpur</t>
  </si>
  <si>
    <t>Mymensingh Area</t>
  </si>
  <si>
    <t>Walton Plaza-Bogar Bazar, Trishal</t>
  </si>
  <si>
    <t>Walton Plaza-Chechua Bazar, Muktagacha</t>
  </si>
  <si>
    <t>Walton Plaza-Dhopakhola, Mymensingh</t>
  </si>
  <si>
    <t>Walton Plaza-Fulbaria, Mymensingh</t>
  </si>
  <si>
    <t>Walton Plaza-Gafargaon, Mymensingh</t>
  </si>
  <si>
    <t>Walton Plaza-Masterbari</t>
  </si>
  <si>
    <t>Walton Plaza-Modhupur Bazar, Isharganj</t>
  </si>
  <si>
    <t>Walton Plaza-Muktagachha</t>
  </si>
  <si>
    <t>Walton Plaza-Mymensingh</t>
  </si>
  <si>
    <t>Walton Plaza-Poranganj, Mymensingh</t>
  </si>
  <si>
    <t>Walton Plaza-Station Road, Mymensingh</t>
  </si>
  <si>
    <t>Walton Plaza-Tarakanda</t>
  </si>
  <si>
    <t>Walton Plaza-Trishal, Mymensingh</t>
  </si>
  <si>
    <t>Walton Plaza-Valuka</t>
  </si>
  <si>
    <t>Netrokona Area</t>
  </si>
  <si>
    <t>Walton Plaza-Barhatta, Netrokona</t>
  </si>
  <si>
    <t>Walton Plaza-Dhobaura, Mymensingh</t>
  </si>
  <si>
    <t>Walton Plaza-Fulpur</t>
  </si>
  <si>
    <t>Walton Plaza-Gouripur, Mymensingh</t>
  </si>
  <si>
    <t>Walton Plaza-Haluaghat, Mymensingh</t>
  </si>
  <si>
    <t>Walton Plaza-Isharganj, Mymensingh</t>
  </si>
  <si>
    <t>Walton Plaza-Kalmakanda, Netrokona</t>
  </si>
  <si>
    <t>Walton Plaza-Kendua, Netrokona</t>
  </si>
  <si>
    <t>Walton Plaza-Modan, Netrokona</t>
  </si>
  <si>
    <t>Walton Plaza-Mohangonj</t>
  </si>
  <si>
    <t>Walton Plaza-Nakla Bazar, Sherpur</t>
  </si>
  <si>
    <t>Walton Plaza-Nalitabari, Sherpur</t>
  </si>
  <si>
    <t>Walton Plaza-Netrokona</t>
  </si>
  <si>
    <t>Walton Plaza-Rajur Bazar, Netrokona</t>
  </si>
  <si>
    <t>Walton Plaza-Shaymgonj, Mymensingh</t>
  </si>
  <si>
    <t>Division-04</t>
  </si>
  <si>
    <t>Brahmanbaria Area</t>
  </si>
  <si>
    <t>Walton Plaza-Akhaura, Brahmanbaria</t>
  </si>
  <si>
    <t>Walton Plaza-Ashugonj, B Baria</t>
  </si>
  <si>
    <t>Walton Plaza-Bancharampur, B.Baria</t>
  </si>
  <si>
    <t>Walton Plaza-Bhairab</t>
  </si>
  <si>
    <t>Walton Plaza-Bishw Road, B.baria</t>
  </si>
  <si>
    <t>Walton Plaza-Hobigonj</t>
  </si>
  <si>
    <t>Walton Plaza-Kasba, Brahmanbaria</t>
  </si>
  <si>
    <t>Walton Plaza-Madhobpur, Hobiganj</t>
  </si>
  <si>
    <t>Walton Plaza-Nabinagar, Brahmanbaria</t>
  </si>
  <si>
    <t>Walton Plaza-Noapara, Habiganj</t>
  </si>
  <si>
    <t>Walton Plaza-Olipur, Hobiganj</t>
  </si>
  <si>
    <t>Walton Plaza-Poirtola Moor, Brahmanbaria</t>
  </si>
  <si>
    <t>Walton Plaza-Shayestaganj, Hobiganj</t>
  </si>
  <si>
    <t>Walton Plaza-T. A Road, B.baria</t>
  </si>
  <si>
    <t>Kishoregonj Area</t>
  </si>
  <si>
    <t>Walton Plaza-Austagram, Kishorgonj</t>
  </si>
  <si>
    <t>Walton Plaza-Belabo, Narshingdi</t>
  </si>
  <si>
    <t>Walton Plaza-Gaital, Kishorgonj</t>
  </si>
  <si>
    <t>Walton Plaza-Hossainpur</t>
  </si>
  <si>
    <t>Walton Plaza-Karimgonj, Kishorgonj</t>
  </si>
  <si>
    <t>Walton Plaza-Katiadi</t>
  </si>
  <si>
    <t>Walton Plaza-Kishorgonj</t>
  </si>
  <si>
    <t>Walton Plaza-Kuliarchar, Kishorgonj</t>
  </si>
  <si>
    <t>Walton Plaza-Mothkhola, Pakundia, Kishoregonj</t>
  </si>
  <si>
    <t>Walton Plaza-Nagua, Bottola, Kishoregonj</t>
  </si>
  <si>
    <t>Walton Plaza-Nikli, Kishorgonj</t>
  </si>
  <si>
    <t>Walton Plaza-Pulerghat Bazar</t>
  </si>
  <si>
    <t>Walton Plaza-Shorarchor, Kishorgonj</t>
  </si>
  <si>
    <t>Walton Plaza-Tarail, Kishorgonj</t>
  </si>
  <si>
    <t>Moulovibazar Area</t>
  </si>
  <si>
    <t>Walton Plaza-Bahubol, Hobigonj</t>
  </si>
  <si>
    <t>Walton Plaza-Baralekha, Moulvibazar</t>
  </si>
  <si>
    <t>Walton Plaza-Bianibazar</t>
  </si>
  <si>
    <t>Walton Plaza-Guninganj, Baniachong</t>
  </si>
  <si>
    <t>Walton Plaza-Kulaura, Moulavibazar</t>
  </si>
  <si>
    <t>Walton Plaza-Kusumbag, Moulvibazar</t>
  </si>
  <si>
    <t>Walton Plaza-M.S.R. Road, M.bazar</t>
  </si>
  <si>
    <t>Walton Plaza-Nobigonj</t>
  </si>
  <si>
    <t>Walton Plaza-Rajnagar, Moulvibazar</t>
  </si>
  <si>
    <t>Walton Plaza-Sarkar Bazar, Moulovibazar</t>
  </si>
  <si>
    <t>Walton Plaza-Sreemongal Road, M.Bazar</t>
  </si>
  <si>
    <t>Walton Plaza-Sreemongol</t>
  </si>
  <si>
    <t>Walton Plaza-Vanugach, Sreemongol</t>
  </si>
  <si>
    <t>Sylhet-North Area</t>
  </si>
  <si>
    <t>Walton Plaza-Ambor khana, Sylhet</t>
  </si>
  <si>
    <t>Walton Plaza-Bishwamvarpur,Sunamgonj</t>
  </si>
  <si>
    <t>Walton Plaza-Bishwanath, Sylhet</t>
  </si>
  <si>
    <t>Walton Plaza-Chatok, Sunamgonj</t>
  </si>
  <si>
    <t>Walton Plaza-Companigonj, Sylhet</t>
  </si>
  <si>
    <t>Walton Plaza-Derai,Sunamganj</t>
  </si>
  <si>
    <t>Walton Plaza-East Banglabazar, Sunamgonj</t>
  </si>
  <si>
    <t>Walton Plaza-Jagannathpur, Sunamgonj</t>
  </si>
  <si>
    <t>Walton Plaza-Jamalgonj, Sunamgonj</t>
  </si>
  <si>
    <t>Walton Plaza-Jawabazar</t>
  </si>
  <si>
    <t>Walton Plaza-Modhina Market, Pathantula, Sylhet</t>
  </si>
  <si>
    <t>Walton Plaza-Shologhar, Sunamgonj</t>
  </si>
  <si>
    <t>Walton Plaza-Subidbazar</t>
  </si>
  <si>
    <t>Walton Plaza-Sunamgonj</t>
  </si>
  <si>
    <t>Sylhet-South Area</t>
  </si>
  <si>
    <t>Walton Plaza-Balagonj, Sylhet</t>
  </si>
  <si>
    <t>Walton Plaza-Chondipul, Sylhet</t>
  </si>
  <si>
    <t>Walton Plaza-Darbost, Sylhet</t>
  </si>
  <si>
    <t>Walton Plaza-Golapganj, Sylhet</t>
  </si>
  <si>
    <t>Walton Plaza-Gowainghat, Sylhet</t>
  </si>
  <si>
    <t>Walton Plaza-Islampur, Sylhet</t>
  </si>
  <si>
    <t>Walton Plaza-Jaflong</t>
  </si>
  <si>
    <t>Walton Plaza-Kaliganj, Zakiganj</t>
  </si>
  <si>
    <t>Walton Plaza-Kanaighat</t>
  </si>
  <si>
    <t>Walton Plaza-Sobhani ghat, Sylhet</t>
  </si>
  <si>
    <t>Walton Plaza-Station Road, Sylhet</t>
  </si>
  <si>
    <t>Walton Plaza-Tajpur, Sylhet</t>
  </si>
  <si>
    <t>Walton Plaza-Taltola, Sylhet</t>
  </si>
  <si>
    <t>Walton Plaza-Zindabazar, Sylhet</t>
  </si>
  <si>
    <t>Division-05</t>
  </si>
  <si>
    <t>Chandpur Area</t>
  </si>
  <si>
    <t>Walton Plaza-Baburhat, Chandpur</t>
  </si>
  <si>
    <t>Walton Plaza-Chatkhil</t>
  </si>
  <si>
    <t>Walton Plaza-Dalal Bazar, Laxmipur</t>
  </si>
  <si>
    <t>Walton Plaza-Hajigonj</t>
  </si>
  <si>
    <t>Walton Plaza-Jumur, Laxmipur</t>
  </si>
  <si>
    <t>Walton Plaza-Kochua,Chandpur</t>
  </si>
  <si>
    <t>Walton Plaza-Laksam</t>
  </si>
  <si>
    <t>Walton Plaza-Model Town, Hajigonj, Chandpur</t>
  </si>
  <si>
    <t>Walton Plaza-Motlab</t>
  </si>
  <si>
    <t>Walton Plaza-Muktijoddha Sharok, Chandpur</t>
  </si>
  <si>
    <t>Walton Plaza-Raipur, Laxmipur</t>
  </si>
  <si>
    <t>Walton Plaza-Ramgonj, Laxmipur</t>
  </si>
  <si>
    <t>Walton Plaza-Sholo ghor, Chandpur</t>
  </si>
  <si>
    <t>Walton Plaza-Zero Point, Laxmipur</t>
  </si>
  <si>
    <t>Cumilla Area</t>
  </si>
  <si>
    <t>Walton Plaza-Amratoli, Cumilla</t>
  </si>
  <si>
    <t>Walton Plaza-Bagmara, Cumilla</t>
  </si>
  <si>
    <t>Walton Plaza-Brahmanpara, Cumilla</t>
  </si>
  <si>
    <t>Walton Plaza-Burichang, Comilla</t>
  </si>
  <si>
    <t>Walton Plaza-Chakbazar, Comilla</t>
  </si>
  <si>
    <t>Walton Plaza-Chandina</t>
  </si>
  <si>
    <t>Walton Plaza-Daudkandi, Cumilla</t>
  </si>
  <si>
    <t>Walton Plaza-EPZ, Cumilla</t>
  </si>
  <si>
    <t>Walton Plaza-Gouripur, Comilla</t>
  </si>
  <si>
    <t>Walton Plaza-Homna, Cumilla</t>
  </si>
  <si>
    <t>Walton Plaza-Kotbari, Cumilla</t>
  </si>
  <si>
    <t>Walton Plaza-Meghna, Cumilla</t>
  </si>
  <si>
    <t>Walton Plaza-Muradnagar, Cumilla</t>
  </si>
  <si>
    <t>Walton Plaza-Nangolkot, Cumilla</t>
  </si>
  <si>
    <t>Walton Plaza-Paduar Bazar, Comilla</t>
  </si>
  <si>
    <t>Walton Plaza-Rajgonj, Comilla</t>
  </si>
  <si>
    <t>Walton Plaza-Sachar, Kochua, Chandpur</t>
  </si>
  <si>
    <t>Narayangonj Area</t>
  </si>
  <si>
    <t>Walton Plaza-Araihazar, Narayangonj</t>
  </si>
  <si>
    <t>Walton Plaza-Bandar,Narayanganj</t>
  </si>
  <si>
    <t>Walton Plaza-Barabo, Narayangonj</t>
  </si>
  <si>
    <t>Walton Plaza-Chasara, N.gonj</t>
  </si>
  <si>
    <t>Walton Plaza-Godenail, Siddirgonj</t>
  </si>
  <si>
    <t>Walton Plaza-Jalkuri, Narayangonj</t>
  </si>
  <si>
    <t>Walton Plaza-Kanchpur</t>
  </si>
  <si>
    <t>Walton Plaza-Nitaigonj, N.gonj</t>
  </si>
  <si>
    <t>Walton Plaza-Pagla, N.Gonj</t>
  </si>
  <si>
    <t>Walton Plaza-Panchabati</t>
  </si>
  <si>
    <t>Walton Plaza-Sanairpar, Siddirgonj</t>
  </si>
  <si>
    <t>Walton Plaza-Shahebpara Bazar, Siddirgonj</t>
  </si>
  <si>
    <t>Walton Plaza-Siddirgonj</t>
  </si>
  <si>
    <t>Walton Plaza-Sonargaon</t>
  </si>
  <si>
    <t>Walton Plaza-Voberchar, Munshigonj</t>
  </si>
  <si>
    <t>Walton Plaza-Vulta Gawsia, Narayangonj</t>
  </si>
  <si>
    <t>Narsingdi Area</t>
  </si>
  <si>
    <t>Walton Plaza-Banti Bazar, Araihazar</t>
  </si>
  <si>
    <t>Walton Plaza-Bazir Moor, Narshingdi</t>
  </si>
  <si>
    <t>Walton Plaza-Danga Bazar, Narshingdi</t>
  </si>
  <si>
    <t>Walton Plaza-Dohorgaw, Rupganj</t>
  </si>
  <si>
    <t>Walton Plaza-Gorashal, Palash</t>
  </si>
  <si>
    <t>Walton Plaza-Kandapara, Narsingdi</t>
  </si>
  <si>
    <t>Walton Plaza-Madabdi</t>
  </si>
  <si>
    <t>Walton Plaza-Monohardi, Narshingdi</t>
  </si>
  <si>
    <t>Walton Plaza-Murapara, Narayangonj</t>
  </si>
  <si>
    <t>Walton Plaza-Palash, Narshingdi</t>
  </si>
  <si>
    <t>Walton Plaza-Ramchandradi, Gopaldi</t>
  </si>
  <si>
    <t>Walton Plaza-Shaheprotab, Narsingdi</t>
  </si>
  <si>
    <t>Walton Plaza-Shibpur, Narshingdi</t>
  </si>
  <si>
    <t>Walton Plaza-Tulatuli Moor, Raypura</t>
  </si>
  <si>
    <t>Noakhali Area</t>
  </si>
  <si>
    <t>Walton Plaza-Academy Road, Feni</t>
  </si>
  <si>
    <t>Walton Plaza-Chowmuhani</t>
  </si>
  <si>
    <t>Walton Plaza-Companigonj</t>
  </si>
  <si>
    <t>Walton Plaza-Dagunbhuya</t>
  </si>
  <si>
    <t>Walton Plaza-Dakbangla, Sonagazi, Feni</t>
  </si>
  <si>
    <t>Walton Plaza-East Bazar, Chowmohoni</t>
  </si>
  <si>
    <t>Walton Plaza-Kasherhat, Suborno Chor, Noakhali</t>
  </si>
  <si>
    <t>Walton Plaza-Maizdi</t>
  </si>
  <si>
    <t>Walton Plaza-Maizdi Bazar, Noakhali</t>
  </si>
  <si>
    <t>Walton Plaza-Mohipal, Feni</t>
  </si>
  <si>
    <t>Walton Plaza-Porshuram, Feni</t>
  </si>
  <si>
    <t>Walton Plaza-S. S. K Road, Feni</t>
  </si>
  <si>
    <t>Walton Plaza-Sagolnaiya</t>
  </si>
  <si>
    <t>Walton Plaza-Senbag, Noakhali</t>
  </si>
  <si>
    <t>Walton Plaza-Sonaimuri, Noakhali</t>
  </si>
  <si>
    <t>Walton Plaza-Sonapur, Noakhali</t>
  </si>
  <si>
    <t>Division-06</t>
  </si>
  <si>
    <t>Cox's Bazar Area</t>
  </si>
  <si>
    <t>Walton Plaza-Badarkhali</t>
  </si>
  <si>
    <t>Walton Plaza-Bajalia</t>
  </si>
  <si>
    <t>Walton Plaza-Bandarban</t>
  </si>
  <si>
    <t>Walton Plaza-Bazarghata, Coxs Bazar</t>
  </si>
  <si>
    <t>Walton Plaza-Chakoria</t>
  </si>
  <si>
    <t>Walton Plaza-Courtbazar, Ukhia, Coxs Bazar</t>
  </si>
  <si>
    <t>Walton Plaza-Eidgaon</t>
  </si>
  <si>
    <t>Walton Plaza-Jhautola, Cox's Bazar</t>
  </si>
  <si>
    <t>Walton Plaza-Keranihat</t>
  </si>
  <si>
    <t>Walton Plaza-Lama, Bandarban</t>
  </si>
  <si>
    <t>Walton Plaza-Lohagora</t>
  </si>
  <si>
    <t>Walton Plaza-Moricha, Ukhhiya</t>
  </si>
  <si>
    <t>Walton Plaza-Pekua, Cox's Bazar</t>
  </si>
  <si>
    <t>Walton Plaza-Ramu, Cox's Bazar</t>
  </si>
  <si>
    <t>Walton Plaza-Satkania, Chittagong</t>
  </si>
  <si>
    <t>Walton Plaza-Teknaf</t>
  </si>
  <si>
    <t>Walton Plaza-Time Bazar, Moheshkhali</t>
  </si>
  <si>
    <t>CTG Central Area</t>
  </si>
  <si>
    <t>Walton Plaza-Bahaddarhat</t>
  </si>
  <si>
    <t>Walton Plaza-Bhatiari, Chattagram</t>
  </si>
  <si>
    <t>Walton Plaza-Borotakia, Mirsharai, Chattagram</t>
  </si>
  <si>
    <t>Walton Plaza-Chakbazar, Ctg</t>
  </si>
  <si>
    <t>Walton Plaza-Chaktai, Chittagong</t>
  </si>
  <si>
    <t>Walton Plaza-Citygate</t>
  </si>
  <si>
    <t>Walton Plaza-DT Road, Pahartoli, Ctg</t>
  </si>
  <si>
    <t>Walton Plaza-GEC</t>
  </si>
  <si>
    <t>Walton Plaza-Halishahor</t>
  </si>
  <si>
    <t>Walton Plaza-Noyabazar, Halishar, Ctg</t>
  </si>
  <si>
    <t>Walton Plaza-Oxigen</t>
  </si>
  <si>
    <t>Walton Plaza-Shantirhat, Chattogram</t>
  </si>
  <si>
    <t>Walton Plaza-Sitakunda</t>
  </si>
  <si>
    <t>Walton Plaza-Zoraganj, Mirsharai, Chattagram</t>
  </si>
  <si>
    <t>CTG East Area</t>
  </si>
  <si>
    <t>Walton Plaza-Bhoojpur, Fatikchori, Chittagong</t>
  </si>
  <si>
    <t>Walton Plaza-Chowdhuryhat, Chattagram</t>
  </si>
  <si>
    <t>Walton Plaza-Dighinala, Khagrachori</t>
  </si>
  <si>
    <t>Walton Plaza-Guimara, Khagrachari</t>
  </si>
  <si>
    <t>Walton Plaza-Hathazari</t>
  </si>
  <si>
    <t>Walton Plaza-Khagrachori</t>
  </si>
  <si>
    <t>Walton Plaza-Lichubagan, Rangunia, Chittagong</t>
  </si>
  <si>
    <t>Walton Plaza-Manikchori, Khagrachori</t>
  </si>
  <si>
    <t>Walton Plaza-Najirhat, Chittagong</t>
  </si>
  <si>
    <t>Walton Plaza-Nanupur, Fatikchari, Chittagong</t>
  </si>
  <si>
    <t>Walton Plaza-Noapara, Raozan, Chattogram</t>
  </si>
  <si>
    <t>Walton Plaza-Pahartali, Chattagram</t>
  </si>
  <si>
    <t>Walton Plaza-Rangamati</t>
  </si>
  <si>
    <t>Walton Plaza-Raozan, Chittagong</t>
  </si>
  <si>
    <t>CTG West Area</t>
  </si>
  <si>
    <t>Walton Plaza-Agrabad, Ctg</t>
  </si>
  <si>
    <t>Walton Plaza-Anowara, Chittagong</t>
  </si>
  <si>
    <t>Walton Plaza-Battali, Chattogram</t>
  </si>
  <si>
    <t>Walton Plaza-Boalkhali, Chittagong</t>
  </si>
  <si>
    <t>Walton Plaza-Chambol, Banshkhali, Chattagram</t>
  </si>
  <si>
    <t>Walton Plaza-College Road, Potia</t>
  </si>
  <si>
    <t>Walton Plaza-Dohazari</t>
  </si>
  <si>
    <t>Walton Plaza-EPZ, Chittagong</t>
  </si>
  <si>
    <t>Walton Plaza-Fokirnirhat, Ctg</t>
  </si>
  <si>
    <t>Walton Plaza-Gunagari, Chattagram</t>
  </si>
  <si>
    <t>Walton Plaza-Kathgar, Patenga, Chattogram</t>
  </si>
  <si>
    <t>Walton Plaza-Lal-Khan Bazar, Ctg</t>
  </si>
  <si>
    <t>Walton Plaza-Navygate</t>
  </si>
  <si>
    <t>Walton Plaza-Rowshanhat, Chittagong</t>
  </si>
  <si>
    <t>Division-07</t>
  </si>
  <si>
    <t>Barisal Area</t>
  </si>
  <si>
    <t>Walton Plaza-Amanatgonj, Barishal</t>
  </si>
  <si>
    <t>Walton Plaza-Banglabazar</t>
  </si>
  <si>
    <t>Walton Plaza-Banglabazer, Bhola</t>
  </si>
  <si>
    <t>Walton Plaza-Barisal</t>
  </si>
  <si>
    <t>Walton Plaza-Bhola</t>
  </si>
  <si>
    <t>Walton Plaza-Charfashon,Bhola</t>
  </si>
  <si>
    <t>Walton Plaza-Daulatkhan, Bhola</t>
  </si>
  <si>
    <t>Walton Plaza-Gournadi, Barisal</t>
  </si>
  <si>
    <t>Walton Plaza-Kalinathbazar, Bhola</t>
  </si>
  <si>
    <t>Walton Plaza-Lalmohon, Bhola</t>
  </si>
  <si>
    <t>Walton Plaza-Mehendigonj, Barishal</t>
  </si>
  <si>
    <t>Walton Plaza-Nathullabad, Barishal</t>
  </si>
  <si>
    <t>Walton Plaza-Paisarhat</t>
  </si>
  <si>
    <t>Walton Plaza-Sashivushan, Bhola</t>
  </si>
  <si>
    <t>Faridpur Area</t>
  </si>
  <si>
    <t>Walton Plaza-Boalmari, Faridpur</t>
  </si>
  <si>
    <t>Walton Plaza-Charbhadrasan, Faridpur</t>
  </si>
  <si>
    <t>Walton Plaza-Faridpur</t>
  </si>
  <si>
    <t>Walton Plaza-Gopalgonj</t>
  </si>
  <si>
    <t>Walton Plaza-Kanaipur, Faridpur</t>
  </si>
  <si>
    <t>Walton Plaza-Kashiyani, Gopalgonj</t>
  </si>
  <si>
    <t>Walton Plaza-Kotalipara, Gopalgonj</t>
  </si>
  <si>
    <t>Walton Plaza-Modhukhali, Faridpur</t>
  </si>
  <si>
    <t>Walton Plaza-Muksedpur,Gopalgonj</t>
  </si>
  <si>
    <t>Walton Plaza-Nagarkanda, Faridpur</t>
  </si>
  <si>
    <t>Walton Plaza-Neeltuli, Faridpur</t>
  </si>
  <si>
    <t>Walton Plaza-Police Line, Gopalgonj</t>
  </si>
  <si>
    <t>Walton Plaza-Sadarpur, Faridpur</t>
  </si>
  <si>
    <t>Walton Plaza-Tungipara,Gopalgonj</t>
  </si>
  <si>
    <t>Madaripur Area</t>
  </si>
  <si>
    <t>Walton Plaza-Boultali, Gopalganj</t>
  </si>
  <si>
    <t>Walton Plaza-Damudya</t>
  </si>
  <si>
    <t>Walton Plaza-Dhanuka,Shariatpur</t>
  </si>
  <si>
    <t>Walton Plaza-Gosairhat, Shariatpur</t>
  </si>
  <si>
    <t>Walton Plaza-Kalkini, Madaripur</t>
  </si>
  <si>
    <t>Walton Plaza-Madaripur</t>
  </si>
  <si>
    <t>Walton Plaza-Noria, Shariatpur</t>
  </si>
  <si>
    <t>Walton Plaza-Old Bus Stand, Madaripur</t>
  </si>
  <si>
    <t>Walton Plaza-Pancchar, Shibchar</t>
  </si>
  <si>
    <t>Walton Plaza-Rajoir, Madaripur</t>
  </si>
  <si>
    <t>Walton Plaza-Shariatpur</t>
  </si>
  <si>
    <t>Walton Plaza-Shibchar, Madaripur</t>
  </si>
  <si>
    <t>Walton Plaza-Tekerhat, Madaripur</t>
  </si>
  <si>
    <t>Walton Plaza-Zajira</t>
  </si>
  <si>
    <t>Patuakhali Area</t>
  </si>
  <si>
    <t>Walton Plaza-Amtoli, Barguna</t>
  </si>
  <si>
    <t>Walton Plaza-Barguna, Barisal</t>
  </si>
  <si>
    <t>Walton Plaza-Bauphal, Patuakhali</t>
  </si>
  <si>
    <t>Walton Plaza-Betagi, Barguna</t>
  </si>
  <si>
    <t>Walton Plaza-Choto Chowrasta, Patuakhali</t>
  </si>
  <si>
    <t>Walton Plaza-Dashmina, Patuakhali</t>
  </si>
  <si>
    <t>Walton Plaza-Galachipa, Patuakhali</t>
  </si>
  <si>
    <t>Walton Plaza-Kalapara, Patuakhali</t>
  </si>
  <si>
    <t>Walton Plaza-Mohipur, Patuakhali</t>
  </si>
  <si>
    <t>Walton Plaza-Nalchithi, Barisal</t>
  </si>
  <si>
    <t>Walton Plaza-Patharghata</t>
  </si>
  <si>
    <t>Walton Plaza-Patuakhali</t>
  </si>
  <si>
    <t>Walton Plaza-Subidkhali, Mirjagonj</t>
  </si>
  <si>
    <t>Walton Plaza-Taltoli,Barguna</t>
  </si>
  <si>
    <t>Pirojpur Area</t>
  </si>
  <si>
    <t>Walton Plaza-Amua, Kathalia, Jhalokathi</t>
  </si>
  <si>
    <t>Walton Plaza-Bagerhat</t>
  </si>
  <si>
    <t>Walton Plaza-Bhandaria, Pirojpur</t>
  </si>
  <si>
    <t>Walton Plaza-College More, Jhalokathi</t>
  </si>
  <si>
    <t>Walton Plaza-Indurkani, Pirojpur</t>
  </si>
  <si>
    <t>Walton Plaza-Jhalokathi</t>
  </si>
  <si>
    <t>Walton Plaza-Kawkhali, Pirojpur</t>
  </si>
  <si>
    <t>Walton Plaza-Mathbaria, Pirojpur</t>
  </si>
  <si>
    <t>Walton Plaza-Mithapukurpar, Bagerhat</t>
  </si>
  <si>
    <t>Walton Plaza-Morrelganj, Bagerhat</t>
  </si>
  <si>
    <t>Walton Plaza-Nazirpur, Pirojpur</t>
  </si>
  <si>
    <t>Walton Plaza-Nesarabad, Pirojpur</t>
  </si>
  <si>
    <t>Walton Plaza-Pirojpur</t>
  </si>
  <si>
    <t>Walton Plaza-Rajapur, Jhalokathi</t>
  </si>
  <si>
    <t>Walton Plaza-Rayenda, Shoronkhola, Bagerhat</t>
  </si>
  <si>
    <t>Division-08</t>
  </si>
  <si>
    <t>Jashore Area</t>
  </si>
  <si>
    <t>Walton Plaza-Bagharpara, Jashore</t>
  </si>
  <si>
    <t>Walton Plaza-Benapole, Jessore</t>
  </si>
  <si>
    <t>Walton Plaza-Chaugachha, Jashore</t>
  </si>
  <si>
    <t>Walton Plaza-Gari Khana, Jessore</t>
  </si>
  <si>
    <t>Walton Plaza-Jhikorgacha, Jashore</t>
  </si>
  <si>
    <t>Walton Plaza-Kalia, Narail</t>
  </si>
  <si>
    <t>Walton Plaza-Khajura, Bagharpara, Jashore</t>
  </si>
  <si>
    <t>Walton Plaza-Lohagora, Narail</t>
  </si>
  <si>
    <t>Walton Plaza-Mohiskhola, Narail</t>
  </si>
  <si>
    <t>Walton Plaza-Navaran</t>
  </si>
  <si>
    <t>Walton Plaza-New Market, Jessore</t>
  </si>
  <si>
    <t>Walton Plaza-Noapara</t>
  </si>
  <si>
    <t>Walton Plaza-Norail</t>
  </si>
  <si>
    <t>Walton Plaza-Palbari Mor, Jessore</t>
  </si>
  <si>
    <t>Walton Plaza-R.N Road, Jessore</t>
  </si>
  <si>
    <t>Walton Plaza-Rupdia, Jashore</t>
  </si>
  <si>
    <t>Jhenaidah Area</t>
  </si>
  <si>
    <t>Walton Plaza-Alamdanga, Chuadanga</t>
  </si>
  <si>
    <t>Walton Plaza-Arpara, Magura</t>
  </si>
  <si>
    <t>Walton Plaza-Chuadanga</t>
  </si>
  <si>
    <t>Walton Plaza-Chuadanga Mor, Jhenaidah</t>
  </si>
  <si>
    <t>Walton Plaza-Darshona, Chuadanga</t>
  </si>
  <si>
    <t>Walton Plaza-Harinakunda, Jhenaidah</t>
  </si>
  <si>
    <t>Walton Plaza-Jhenaidah</t>
  </si>
  <si>
    <t>Walton Plaza-Jibannagar, Chuadanga</t>
  </si>
  <si>
    <t>Walton Plaza-Kaligonj, Jheniadah</t>
  </si>
  <si>
    <t>Walton Plaza-Kotchandpur, Jhenaidah</t>
  </si>
  <si>
    <t>Walton Plaza-Magura</t>
  </si>
  <si>
    <t>Walton Plaza-Moheshpur</t>
  </si>
  <si>
    <t>Walton Plaza-Shailokupa, Jhenaidah</t>
  </si>
  <si>
    <t>Walton Plaza-Sreepur, Magura</t>
  </si>
  <si>
    <t>Walton Plaza-Vaina Moor, Magura</t>
  </si>
  <si>
    <t>Khulna Area</t>
  </si>
  <si>
    <t>Walton Plaza-Chalna Bazar, Khulna</t>
  </si>
  <si>
    <t>Walton Plaza-Chitalmari, Bagerhat</t>
  </si>
  <si>
    <t>Walton Plaza-Dakbangla</t>
  </si>
  <si>
    <t>Walton Plaza-Doulatpur</t>
  </si>
  <si>
    <t>Walton Plaza-Fakirhat, Bagerhat</t>
  </si>
  <si>
    <t>Walton Plaza-Foylahat, Bagerhat</t>
  </si>
  <si>
    <t>Walton Plaza-Fultala, Khulna</t>
  </si>
  <si>
    <t>Walton Plaza-Gollamari</t>
  </si>
  <si>
    <t>Walton Plaza-Khalishpur, Khulna</t>
  </si>
  <si>
    <t>Walton Plaza-Mollahat, Bagerhat</t>
  </si>
  <si>
    <t>Walton Plaza-Mongla</t>
  </si>
  <si>
    <t>Walton Plaza-Rupsha Ghat, Khulna</t>
  </si>
  <si>
    <t>Walton Plaza-Shiromoni Bazar, Khulna</t>
  </si>
  <si>
    <t>Walton Plaza-Sonadanga</t>
  </si>
  <si>
    <t>Walton Plaza-Terokhada Bazar, Khulna</t>
  </si>
  <si>
    <t>Kustia Area</t>
  </si>
  <si>
    <t>Walton Plaza-Baliakandi, Rajbari</t>
  </si>
  <si>
    <t>Walton Plaza-Bamundi, Meherpur</t>
  </si>
  <si>
    <t>Walton Plaza-Court Road, Meherpur</t>
  </si>
  <si>
    <t>Walton Plaza-Doulatpur, Kustia</t>
  </si>
  <si>
    <t>Walton Plaza-Horinaraynpur, Kustia</t>
  </si>
  <si>
    <t>Walton Plaza-Kalukhali, Rajbari</t>
  </si>
  <si>
    <t>Walton Plaza-Kumarkhali, Kustia</t>
  </si>
  <si>
    <t>Walton Plaza-Kustia</t>
  </si>
  <si>
    <t>Walton Plaza-Meherpur</t>
  </si>
  <si>
    <t>Walton Plaza-Mirpur, Kustia</t>
  </si>
  <si>
    <t>Walton Plaza-N.S Road, Kustia</t>
  </si>
  <si>
    <t>Walton Plaza-Pangsha, Rajbari</t>
  </si>
  <si>
    <t>Walton Plaza-Rajbari</t>
  </si>
  <si>
    <t>Walton Plaza-Satbaria</t>
  </si>
  <si>
    <t>Satkhira Area</t>
  </si>
  <si>
    <t>Walton Plaza-Chuknagar, Khulna</t>
  </si>
  <si>
    <t>Walton Plaza-Dumuria, Khulna</t>
  </si>
  <si>
    <t>Walton Plaza-Kalaroa, Satkhira</t>
  </si>
  <si>
    <t>Walton Plaza-Kaligonj, Satkhira</t>
  </si>
  <si>
    <t>Walton Plaza-Keshobpur</t>
  </si>
  <si>
    <t>Walton Plaza-Khulna Mor, Shatkhira</t>
  </si>
  <si>
    <t>Walton Plaza-Kopilmuni, Paikgacha, Khulna</t>
  </si>
  <si>
    <t>Walton Plaza-Koyra, Khulna</t>
  </si>
  <si>
    <t>Walton Plaza-Monirampur, Jessore</t>
  </si>
  <si>
    <t>Walton Plaza-Nalta, Kaligonj, Satkhira</t>
  </si>
  <si>
    <t>Walton Plaza-Paikgasa, Khulna</t>
  </si>
  <si>
    <t>Walton Plaza-Patkelghata</t>
  </si>
  <si>
    <t>Walton Plaza-Shatkhira</t>
  </si>
  <si>
    <t>Walton Plaza-Shyamnagar, Satkhira</t>
  </si>
  <si>
    <t>Division-09</t>
  </si>
  <si>
    <t>Bogura North Area</t>
  </si>
  <si>
    <t>Walton Plaza-Bonarpara, Gaibandha</t>
  </si>
  <si>
    <t>Walton Plaza-Gaibandha</t>
  </si>
  <si>
    <t>Walton Plaza-Gobindagonj</t>
  </si>
  <si>
    <t>Walton Plaza-Mahimagonj, Gobindagonj</t>
  </si>
  <si>
    <t>Walton Plaza-Mokamtola, Bogra</t>
  </si>
  <si>
    <t>Walton Plaza-Palashbari, Gaibandha</t>
  </si>
  <si>
    <t>Walton Plaza-Shibgonj, Bogra</t>
  </si>
  <si>
    <t>Walton Plaza-Sonatola, Bogura</t>
  </si>
  <si>
    <t>Walton Plaza-Sutrapur, Bogra</t>
  </si>
  <si>
    <t>Walton Plaza-V-AID Road, Gaibandha</t>
  </si>
  <si>
    <t>Bogura South Area</t>
  </si>
  <si>
    <t>Walton Plaza-B-Block(Bogra)</t>
  </si>
  <si>
    <t>Walton Plaza-Chandaikona, Sirajganj</t>
  </si>
  <si>
    <t>Walton Plaza-Coloni, Bogura</t>
  </si>
  <si>
    <t>Walton Plaza-Dattabari, Bogra</t>
  </si>
  <si>
    <t>Walton Plaza-Dhanut, Bogra</t>
  </si>
  <si>
    <t>Walton Plaza-Dhupchancia, Bogra</t>
  </si>
  <si>
    <t>Walton Plaza-Jawtola, Bogra</t>
  </si>
  <si>
    <t>Walton Plaza-Nandigram, Bogra</t>
  </si>
  <si>
    <t>Walton Plaza-Pirgacha, Bogura</t>
  </si>
  <si>
    <t>Walton Plaza-Sariakandi, Bogura</t>
  </si>
  <si>
    <t>Walton Plaza-Sherpur Bogra</t>
  </si>
  <si>
    <t>Naogaon Area</t>
  </si>
  <si>
    <t>Walton Plaza-Abadpukur, Naogaon</t>
  </si>
  <si>
    <t>Walton Plaza-Adamdigi, Bogura</t>
  </si>
  <si>
    <t>Walton Plaza-Atrai, Naogaon</t>
  </si>
  <si>
    <t>Walton Plaza-Dhamurhat, Naogaon</t>
  </si>
  <si>
    <t>Walton Plaza-Mohadevpur, Naogaon</t>
  </si>
  <si>
    <t>Walton Plaza-Naogaon</t>
  </si>
  <si>
    <t>Walton Plaza-Nazipur, Naogaon</t>
  </si>
  <si>
    <t>Walton Plaza-Niamotpur, Naogaon</t>
  </si>
  <si>
    <t>Walton Plaza-Proshadpur, Manda</t>
  </si>
  <si>
    <t>Walton Plaza-Rubir Moor,Naogaon</t>
  </si>
  <si>
    <t>Walton Plaza-Santaher</t>
  </si>
  <si>
    <t>Walton Plaza-Shapahar, Naogaon</t>
  </si>
  <si>
    <t>Natore Area</t>
  </si>
  <si>
    <t>Walton Plaza-Bagha, Rajshahi</t>
  </si>
  <si>
    <t>Walton Plaza-Baneshwar, Rajshahi</t>
  </si>
  <si>
    <t>Walton Plaza-Bonpara, Natore</t>
  </si>
  <si>
    <t>Walton Plaza-Chanchkoir, Natore</t>
  </si>
  <si>
    <t>Walton Plaza-Charghat, Sarda, Rajshahi</t>
  </si>
  <si>
    <t>Walton Plaza-Dayarampur, Natore</t>
  </si>
  <si>
    <t>Walton Plaza-Durgapur, Rajshahi</t>
  </si>
  <si>
    <t>Walton Plaza-Lalpur, Natore</t>
  </si>
  <si>
    <t>Walton Plaza-Natore</t>
  </si>
  <si>
    <t>Walton Plaza-Natore,Madrasa more</t>
  </si>
  <si>
    <t>Walton Plaza-Puthia, Rajshahi</t>
  </si>
  <si>
    <t>Walton Plaza-Shingra, Natore</t>
  </si>
  <si>
    <t>Pabna Area</t>
  </si>
  <si>
    <t>Walton Plaza-Ataikula, Pabna</t>
  </si>
  <si>
    <t>Walton Plaza-Atghoria, Pabna</t>
  </si>
  <si>
    <t>Walton Plaza-Bera, Pabna</t>
  </si>
  <si>
    <t>Walton Plaza-Bus Terminal, Pabna</t>
  </si>
  <si>
    <t>Walton Plaza-Chatmohar, Pabna</t>
  </si>
  <si>
    <t>Walton Plaza-Dashuria, Ishwardi</t>
  </si>
  <si>
    <t>Walton Plaza-Faridpur, Pabna</t>
  </si>
  <si>
    <t>Walton Plaza-Ishordi</t>
  </si>
  <si>
    <t>Walton Plaza-Kashinathpur, Pabna</t>
  </si>
  <si>
    <t>Walton Plaza-Pabna</t>
  </si>
  <si>
    <t>Walton Plaza-Radhanagar, Pabna</t>
  </si>
  <si>
    <t>Walton Plaza-Shujanagor</t>
  </si>
  <si>
    <t>Rajshahi Area</t>
  </si>
  <si>
    <t>Walton Plaza-Alu Patti, Rajshahi</t>
  </si>
  <si>
    <t>Walton Plaza-Amchattar, Rajshahi</t>
  </si>
  <si>
    <t>Walton Plaza-Bhabaniganj, Rajshahi</t>
  </si>
  <si>
    <t>Walton Plaza-Bindur More, Rajshahi</t>
  </si>
  <si>
    <t>Walton Plaza-C &amp; B Moor, Rajshahi</t>
  </si>
  <si>
    <t>Walton Plaza-Chapainawabgonj</t>
  </si>
  <si>
    <t>Walton Plaza-Godagari, Rajshahi</t>
  </si>
  <si>
    <t>Walton Plaza-Hadir Moor, Rajshahi</t>
  </si>
  <si>
    <t>Walton Plaza-Keshorhat, Rajshahi</t>
  </si>
  <si>
    <t>Walton Plaza-Nachole, Chapainawabgonj</t>
  </si>
  <si>
    <t>Walton Plaza-Rohanpur, Chapainawabgonj</t>
  </si>
  <si>
    <t>Walton Plaza-Shaheb Bazar, Rajshahi</t>
  </si>
  <si>
    <t>Walton Plaza-Shibgonj, Chapainawabgonj</t>
  </si>
  <si>
    <t>Division-10</t>
  </si>
  <si>
    <t>Dinajpur Area</t>
  </si>
  <si>
    <t>Walton Plaza-Baliadangi, Thakurgaon</t>
  </si>
  <si>
    <t>Walton Plaza-Birganj, Dinajpur</t>
  </si>
  <si>
    <t>Walton Plaza-Boda, Panchagarh</t>
  </si>
  <si>
    <t>Walton Plaza-Gobindanagar, Thakurgaon</t>
  </si>
  <si>
    <t>Walton Plaza-Goneshtola, Dinajpur</t>
  </si>
  <si>
    <t>Walton Plaza-Panchagarh</t>
  </si>
  <si>
    <t>Walton Plaza-Pirganj, Thakurgaon</t>
  </si>
  <si>
    <t>Walton Plaza-Puraton Panchagarh</t>
  </si>
  <si>
    <t>Walton Plaza-Ranisankail, Thakurgaon</t>
  </si>
  <si>
    <t>Walton Plaza-Ruhia, Thakurgaon</t>
  </si>
  <si>
    <t>Walton Plaza-Setabganj, Dinajpur</t>
  </si>
  <si>
    <t>Walton Plaza-Suihari, Dinajpur</t>
  </si>
  <si>
    <t>Walton Plaza-Thakurgaon</t>
  </si>
  <si>
    <t>Walton Plaza-Tinpotti, Thakurgaon</t>
  </si>
  <si>
    <t>Walton Plaza-Upshohor, Dinajpiur</t>
  </si>
  <si>
    <t>Joypurhat Area</t>
  </si>
  <si>
    <t>Walton Plaza-Akkalpur(Joypurhat)</t>
  </si>
  <si>
    <t>Walton Plaza-Badalgasi, Naogaon</t>
  </si>
  <si>
    <t>Walton Plaza-Birampur</t>
  </si>
  <si>
    <t>Walton Plaza-Bus Stand, Joypurhat</t>
  </si>
  <si>
    <t>Walton Plaza-Fulbari, Dinajpur</t>
  </si>
  <si>
    <t>Walton Plaza-Joypurhat</t>
  </si>
  <si>
    <t>Walton Plaza-Khetlal, Joypurhat</t>
  </si>
  <si>
    <t>Walton Plaza-Kichok, Bogura</t>
  </si>
  <si>
    <t>Walton Plaza-Pachbibi, Joypurhat</t>
  </si>
  <si>
    <t>Walton Plaza-Ranigonj, Dinajpur</t>
  </si>
  <si>
    <t>Walton Plaza-Tilokpur, Joypurhat</t>
  </si>
  <si>
    <t>Lalmonirhat Area</t>
  </si>
  <si>
    <t>Walton Plaza-Bhurungamari, Kurigram</t>
  </si>
  <si>
    <t>Walton Plaza-Bus Terminal, Kurigram</t>
  </si>
  <si>
    <t>Walton Plaza-Fulbari, Kurigram</t>
  </si>
  <si>
    <t>Walton Plaza-Hatibandha, Lalmonirhat</t>
  </si>
  <si>
    <t>Walton Plaza-Kurigram</t>
  </si>
  <si>
    <t>Walton Plaza-Lalmonirhat</t>
  </si>
  <si>
    <t>Walton Plaza-Mission Moor, Lalmonirhat</t>
  </si>
  <si>
    <t>Walton Plaza-Nageshori</t>
  </si>
  <si>
    <t>Walton Plaza-Patgram, Lalmonirhat</t>
  </si>
  <si>
    <t>Walton Plaza-Pirgachha, Rangpur</t>
  </si>
  <si>
    <t>Walton Plaza-Tushvander, Lalmonirhat</t>
  </si>
  <si>
    <t>Walton Plaza-Ulipur, Kurigram</t>
  </si>
  <si>
    <t>Rangpur Area</t>
  </si>
  <si>
    <t>Walton Plaza-Central Road, Rangpur</t>
  </si>
  <si>
    <t>Walton Plaza-CO Bazar</t>
  </si>
  <si>
    <t>Walton Plaza-Dhap, Rangpur</t>
  </si>
  <si>
    <t>Walton Plaza-Dhaperhat, Rangpur</t>
  </si>
  <si>
    <t>Walton Plaza-Gangachara, Rangpur</t>
  </si>
  <si>
    <t>Walton Plaza-Haragach, Rangpur</t>
  </si>
  <si>
    <t>Walton Plaza-Lalbag, Collage Road Rangpur</t>
  </si>
  <si>
    <t>Walton Plaza-Pirgonj, Rangpur</t>
  </si>
  <si>
    <t>Walton Plaza-Rangpur</t>
  </si>
  <si>
    <t>Walton Plaza-Shadullapur, Gaibandha</t>
  </si>
  <si>
    <t>Walton Plaza-Shapla Chattar, Rangpur</t>
  </si>
  <si>
    <t>Walton Plaza-Shothibari</t>
  </si>
  <si>
    <t>Walton Plaza-Sundorgonj</t>
  </si>
  <si>
    <t>Sayedpur Area</t>
  </si>
  <si>
    <t>Walton Plaza-Bodorgonj</t>
  </si>
  <si>
    <t>Walton Plaza-Chirirbandar, Dinajpur</t>
  </si>
  <si>
    <t>Walton Plaza-Debiganj, Panchagarh</t>
  </si>
  <si>
    <t>Walton Plaza-Domar, Nilfamari</t>
  </si>
  <si>
    <t>Walton Plaza-JholDhaka, Nilphamari</t>
  </si>
  <si>
    <t>Walton Plaza-Khansama, Dinajpur</t>
  </si>
  <si>
    <t>Walton Plaza-Kisorgonj, Nilfamari</t>
  </si>
  <si>
    <t>Walton Plaza-Nilfamari</t>
  </si>
  <si>
    <t>Walton Plaza-Panchmatha,Nilfamari</t>
  </si>
  <si>
    <t>Walton Plaza-Parbatipur,Dinajpur</t>
  </si>
  <si>
    <t>Walton Plaza-Rangpur Road, Saidpur</t>
  </si>
  <si>
    <t>Walton Plaza-Ranirbandar, Dinajpur</t>
  </si>
  <si>
    <t>Walton Plaza-Sayedpur</t>
  </si>
  <si>
    <t>Walton Plaza-Taraganj, Rangpur</t>
  </si>
  <si>
    <t>Walton Plaza-Uttara EPZ, Nilphamari</t>
  </si>
  <si>
    <t>Total Sales</t>
  </si>
  <si>
    <t>Target-1</t>
  </si>
  <si>
    <t>Target-2</t>
  </si>
  <si>
    <t>Target-3</t>
  </si>
  <si>
    <t>Target-4</t>
  </si>
  <si>
    <t>Target-5</t>
  </si>
  <si>
    <t>Target-6</t>
  </si>
  <si>
    <t>Target-7</t>
  </si>
  <si>
    <t>With 25 June 26</t>
  </si>
  <si>
    <t>Within Month</t>
  </si>
  <si>
    <t>Benefit</t>
  </si>
  <si>
    <t>Base Sales Target</t>
  </si>
  <si>
    <t>Division</t>
  </si>
  <si>
    <t>Bogura Area</t>
  </si>
  <si>
    <t>Target-1 (350 Cr)</t>
  </si>
  <si>
    <t>Target-2 (400 Cr)</t>
  </si>
  <si>
    <t>Target-3 (440 Cr)</t>
  </si>
  <si>
    <t>Target-4 (480 Cr)</t>
  </si>
  <si>
    <t>Target-5 (520 Cr)</t>
  </si>
  <si>
    <t>Target-6 (560 Cr)</t>
  </si>
  <si>
    <t>Target-7 (600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</si>
</sst>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164" fontId="0" fillId="2" borderId="0" xfId="1" applyNumberFormat="1" applyFont="1" applyFill="1"/>
    <xf numFmtId="164" fontId="0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" xfId="0" applyBorder="1"/>
    <xf numFmtId="164" fontId="0" fillId="0" borderId="1" xfId="1" applyNumberFormat="1" applyFont="1" applyBorder="1"/>
    <xf numFmtId="0" fontId="0" fillId="0" borderId="4" xfId="0" applyBorder="1"/>
    <xf numFmtId="0" fontId="0" fillId="0" borderId="5" xfId="0" applyBorder="1"/>
    <xf numFmtId="164" fontId="0" fillId="0" borderId="5" xfId="1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11" sqref="J11"/>
    </sheetView>
  </sheetViews>
  <sheetFormatPr defaultRowHeight="15" x14ac:dyDescent="0.25"/>
  <cols>
    <col min="1" max="1" width="12.28515625" bestFit="1" customWidth="1"/>
    <col min="2" max="2" width="17.7109375" bestFit="1" customWidth="1"/>
    <col min="3" max="3" width="44.7109375" bestFit="1" customWidth="1"/>
    <col min="4" max="4" width="21.7109375" style="1" bestFit="1" customWidth="1"/>
    <col min="5" max="11" width="21" style="1" bestFit="1" customWidth="1"/>
  </cols>
  <sheetData>
    <row r="1" spans="1:11" ht="15.75" thickBot="1" x14ac:dyDescent="0.3">
      <c r="A1" s="10" t="s">
        <v>769</v>
      </c>
      <c r="B1" s="11" t="s">
        <v>1</v>
      </c>
      <c r="C1" s="11" t="s">
        <v>2</v>
      </c>
      <c r="D1" s="12" t="s">
        <v>768</v>
      </c>
      <c r="E1" s="12" t="s">
        <v>771</v>
      </c>
      <c r="F1" s="12" t="s">
        <v>772</v>
      </c>
      <c r="G1" s="12" t="s">
        <v>773</v>
      </c>
      <c r="H1" s="12" t="s">
        <v>774</v>
      </c>
      <c r="I1" s="12" t="s">
        <v>775</v>
      </c>
      <c r="J1" s="12" t="s">
        <v>776</v>
      </c>
      <c r="K1" s="12" t="s">
        <v>777</v>
      </c>
    </row>
    <row r="2" spans="1:11" x14ac:dyDescent="0.25">
      <c r="A2" s="7" t="s">
        <v>3</v>
      </c>
      <c r="B2" s="8" t="s">
        <v>4</v>
      </c>
      <c r="C2" s="8" t="s">
        <v>5</v>
      </c>
      <c r="D2" s="9">
        <v>2928133</v>
      </c>
      <c r="E2" s="9">
        <v>3196150.8871509181</v>
      </c>
      <c r="F2" s="9">
        <v>3652743.8710296205</v>
      </c>
      <c r="G2" s="9">
        <v>4018018.2581325821</v>
      </c>
      <c r="H2" s="9">
        <v>4383292.6452355441</v>
      </c>
      <c r="I2" s="9">
        <v>4748567.0323385065</v>
      </c>
      <c r="J2" s="9">
        <v>5113841.4194414681</v>
      </c>
      <c r="K2" s="9">
        <v>5479115.8065444306</v>
      </c>
    </row>
    <row r="3" spans="1:11" x14ac:dyDescent="0.25">
      <c r="A3" s="7" t="s">
        <v>3</v>
      </c>
      <c r="B3" s="8" t="s">
        <v>4</v>
      </c>
      <c r="C3" s="5" t="s">
        <v>6</v>
      </c>
      <c r="D3" s="6">
        <v>4468551</v>
      </c>
      <c r="E3" s="6">
        <v>4877566.4366779523</v>
      </c>
      <c r="F3" s="6">
        <v>5574361.6419176599</v>
      </c>
      <c r="G3" s="6">
        <v>6131797.8061094247</v>
      </c>
      <c r="H3" s="6">
        <v>6689233.9703011913</v>
      </c>
      <c r="I3" s="6">
        <v>7246670.134492957</v>
      </c>
      <c r="J3" s="6">
        <v>7804106.2986847227</v>
      </c>
      <c r="K3" s="6">
        <v>8361542.4628764885</v>
      </c>
    </row>
    <row r="4" spans="1:11" x14ac:dyDescent="0.25">
      <c r="A4" s="7" t="s">
        <v>3</v>
      </c>
      <c r="B4" s="8" t="s">
        <v>4</v>
      </c>
      <c r="C4" s="5" t="s">
        <v>7</v>
      </c>
      <c r="D4" s="6">
        <v>5082905</v>
      </c>
      <c r="E4" s="6">
        <v>5548153.4906555945</v>
      </c>
      <c r="F4" s="6">
        <v>6340746.8464635359</v>
      </c>
      <c r="G4" s="6">
        <v>6974821.531109889</v>
      </c>
      <c r="H4" s="6">
        <v>7608896.2157562431</v>
      </c>
      <c r="I4" s="6">
        <v>8242970.9004025972</v>
      </c>
      <c r="J4" s="6">
        <v>8877045.5850489493</v>
      </c>
      <c r="K4" s="6">
        <v>9511120.2696953043</v>
      </c>
    </row>
    <row r="5" spans="1:11" x14ac:dyDescent="0.25">
      <c r="A5" s="7" t="s">
        <v>3</v>
      </c>
      <c r="B5" s="8" t="s">
        <v>4</v>
      </c>
      <c r="C5" s="5" t="s">
        <v>8</v>
      </c>
      <c r="D5" s="6">
        <v>2829647</v>
      </c>
      <c r="E5" s="6">
        <v>3088650.2660138505</v>
      </c>
      <c r="F5" s="6">
        <v>3529886.0183015433</v>
      </c>
      <c r="G5" s="6">
        <v>3882874.620131697</v>
      </c>
      <c r="H5" s="6">
        <v>4235863.2219618522</v>
      </c>
      <c r="I5" s="6">
        <v>4588851.8237920059</v>
      </c>
      <c r="J5" s="6">
        <v>4941840.4256221605</v>
      </c>
      <c r="K5" s="6">
        <v>5294829.0274523143</v>
      </c>
    </row>
    <row r="6" spans="1:11" x14ac:dyDescent="0.25">
      <c r="A6" s="7" t="s">
        <v>3</v>
      </c>
      <c r="B6" s="8" t="s">
        <v>4</v>
      </c>
      <c r="C6" s="5" t="s">
        <v>9</v>
      </c>
      <c r="D6" s="6">
        <v>1764009</v>
      </c>
      <c r="E6" s="6">
        <v>1925472.2822673027</v>
      </c>
      <c r="F6" s="6">
        <v>2200539.7511626314</v>
      </c>
      <c r="G6" s="6">
        <v>2420593.7262788946</v>
      </c>
      <c r="H6" s="6">
        <v>2640647.7013951577</v>
      </c>
      <c r="I6" s="6">
        <v>2860701.6765114209</v>
      </c>
      <c r="J6" s="6">
        <v>3080755.651627684</v>
      </c>
      <c r="K6" s="6">
        <v>3300809.6267439472</v>
      </c>
    </row>
    <row r="7" spans="1:11" x14ac:dyDescent="0.25">
      <c r="A7" s="7" t="s">
        <v>3</v>
      </c>
      <c r="B7" s="8" t="s">
        <v>4</v>
      </c>
      <c r="C7" s="5" t="s">
        <v>10</v>
      </c>
      <c r="D7" s="6">
        <v>2202234</v>
      </c>
      <c r="E7" s="6">
        <v>2403808.8955706297</v>
      </c>
      <c r="F7" s="6">
        <v>2747210.1663664342</v>
      </c>
      <c r="G7" s="6">
        <v>3021931.1830030773</v>
      </c>
      <c r="H7" s="6">
        <v>3296652.1996397208</v>
      </c>
      <c r="I7" s="6">
        <v>3571373.2162763644</v>
      </c>
      <c r="J7" s="6">
        <v>3846094.232913007</v>
      </c>
      <c r="K7" s="6">
        <v>4120815.2495496506</v>
      </c>
    </row>
    <row r="8" spans="1:11" x14ac:dyDescent="0.25">
      <c r="A8" s="7" t="s">
        <v>3</v>
      </c>
      <c r="B8" s="8" t="s">
        <v>4</v>
      </c>
      <c r="C8" s="5" t="s">
        <v>11</v>
      </c>
      <c r="D8" s="6">
        <v>3333392</v>
      </c>
      <c r="E8" s="6">
        <v>3638504.0563464067</v>
      </c>
      <c r="F8" s="6">
        <v>4158290.3501101793</v>
      </c>
      <c r="G8" s="6">
        <v>4574119.3851211965</v>
      </c>
      <c r="H8" s="6">
        <v>4989948.4201322151</v>
      </c>
      <c r="I8" s="6">
        <v>5405777.4551432328</v>
      </c>
      <c r="J8" s="6">
        <v>5821606.4901542505</v>
      </c>
      <c r="K8" s="6">
        <v>6237435.5251652682</v>
      </c>
    </row>
  </sheetData>
  <autoFilter ref="A1:K8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D954-EDFF-47F7-BF1C-180F85D5CC91}">
  <dimension ref="A1:R697"/>
  <sheetViews>
    <sheetView workbookViewId="0">
      <selection activeCell="K12" sqref="K12"/>
    </sheetView>
  </sheetViews>
  <sheetFormatPr defaultRowHeight="15" x14ac:dyDescent="0.25"/>
  <cols>
    <col min="1" max="1" width="10.5703125" bestFit="1" customWidth="1"/>
    <col min="2" max="2" width="17.7109375" bestFit="1" customWidth="1"/>
    <col min="3" max="3" width="44.7109375" bestFit="1" customWidth="1"/>
    <col min="4" max="4" width="17.28515625" style="1" bestFit="1" customWidth="1"/>
    <col min="5" max="5" width="13.85546875" style="1" bestFit="1" customWidth="1"/>
    <col min="6" max="6" width="10.28515625" style="1" bestFit="1" customWidth="1"/>
    <col min="7" max="7" width="13.85546875" style="1" bestFit="1" customWidth="1"/>
    <col min="8" max="8" width="11.28515625" style="1" bestFit="1" customWidth="1"/>
    <col min="9" max="9" width="13.85546875" style="1" bestFit="1" customWidth="1"/>
    <col min="10" max="10" width="11.28515625" style="1" bestFit="1" customWidth="1"/>
    <col min="11" max="11" width="13.85546875" style="1" bestFit="1" customWidth="1"/>
    <col min="12" max="12" width="11.28515625" style="1" bestFit="1" customWidth="1"/>
    <col min="13" max="13" width="13.85546875" style="1" bestFit="1" customWidth="1"/>
    <col min="14" max="14" width="11.28515625" style="1" bestFit="1" customWidth="1"/>
    <col min="15" max="15" width="13.85546875" style="1" bestFit="1" customWidth="1"/>
    <col min="16" max="16" width="11.28515625" style="1" bestFit="1" customWidth="1"/>
    <col min="17" max="17" width="13.85546875" style="1" bestFit="1" customWidth="1"/>
    <col min="18" max="18" width="11.28515625" bestFit="1" customWidth="1"/>
  </cols>
  <sheetData>
    <row r="1" spans="1:18" x14ac:dyDescent="0.25">
      <c r="D1" s="3"/>
      <c r="E1" s="3" t="s">
        <v>765</v>
      </c>
      <c r="F1" s="3"/>
      <c r="G1" s="3" t="s">
        <v>766</v>
      </c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5">
      <c r="A2" t="s">
        <v>769</v>
      </c>
      <c r="B2" t="s">
        <v>1</v>
      </c>
      <c r="C2" t="s">
        <v>2</v>
      </c>
      <c r="D2" s="1" t="s">
        <v>768</v>
      </c>
      <c r="E2" s="1" t="s">
        <v>758</v>
      </c>
      <c r="F2" s="1" t="s">
        <v>767</v>
      </c>
      <c r="G2" s="1" t="s">
        <v>759</v>
      </c>
      <c r="H2" s="1" t="s">
        <v>767</v>
      </c>
      <c r="I2" s="1" t="s">
        <v>760</v>
      </c>
      <c r="J2" s="1" t="s">
        <v>767</v>
      </c>
      <c r="K2" s="1" t="s">
        <v>761</v>
      </c>
      <c r="L2" s="1" t="s">
        <v>767</v>
      </c>
      <c r="M2" s="1" t="s">
        <v>762</v>
      </c>
      <c r="N2" s="1" t="s">
        <v>767</v>
      </c>
      <c r="O2" s="1" t="s">
        <v>763</v>
      </c>
      <c r="P2" s="1" t="s">
        <v>767</v>
      </c>
      <c r="Q2" s="1" t="s">
        <v>764</v>
      </c>
      <c r="R2" s="1" t="s">
        <v>767</v>
      </c>
    </row>
    <row r="3" spans="1:18" x14ac:dyDescent="0.25">
      <c r="A3" t="s">
        <v>3</v>
      </c>
      <c r="B3" t="s">
        <v>4</v>
      </c>
      <c r="C3" t="s">
        <v>5</v>
      </c>
      <c r="D3" s="1">
        <v>2928133</v>
      </c>
      <c r="E3" s="1">
        <f>_xlfn.XLOOKUP($C3,'Plaza SP Tar'!$C:$C,'Plaza SP Tar'!E:E)</f>
        <v>3196150.8871509181</v>
      </c>
      <c r="F3" s="1">
        <v>10000</v>
      </c>
      <c r="G3" s="1">
        <f>_xlfn.XLOOKUP($C3,'Plaza SP Tar'!$C:$C,'Plaza SP Tar'!F:F)</f>
        <v>3652743.8710296205</v>
      </c>
      <c r="H3" s="1">
        <v>18000</v>
      </c>
      <c r="I3" s="1">
        <f>_xlfn.XLOOKUP($C3,'Plaza SP Tar'!$C:$C,'Plaza SP Tar'!G:G)</f>
        <v>4018018.2581325821</v>
      </c>
      <c r="J3" s="1">
        <v>25000</v>
      </c>
      <c r="K3" s="1">
        <f>_xlfn.XLOOKUP($C3,'Plaza SP Tar'!$C:$C,'Plaza SP Tar'!H:H)</f>
        <v>4383292.6452355441</v>
      </c>
      <c r="L3" s="1">
        <v>30000</v>
      </c>
      <c r="M3" s="1">
        <f>_xlfn.XLOOKUP($C3,'Plaza SP Tar'!$C:$C,'Plaza SP Tar'!I:I)</f>
        <v>4748567.0323385065</v>
      </c>
      <c r="N3" s="1">
        <v>40000</v>
      </c>
      <c r="O3" s="1">
        <f>_xlfn.XLOOKUP($C3,'Plaza SP Tar'!$C:$C,'Plaza SP Tar'!J:J)</f>
        <v>5113841.4194414681</v>
      </c>
      <c r="P3" s="1">
        <v>45000</v>
      </c>
      <c r="Q3" s="1">
        <f>_xlfn.XLOOKUP($C3,'Plaza SP Tar'!$C:$C,'Plaza SP Tar'!K:K)</f>
        <v>5479115.8065444306</v>
      </c>
      <c r="R3">
        <v>50000</v>
      </c>
    </row>
    <row r="4" spans="1:18" x14ac:dyDescent="0.25">
      <c r="A4" t="s">
        <v>3</v>
      </c>
      <c r="B4" t="s">
        <v>4</v>
      </c>
      <c r="C4" t="s">
        <v>6</v>
      </c>
      <c r="D4" s="1">
        <v>4468551</v>
      </c>
      <c r="E4" s="1">
        <f>_xlfn.XLOOKUP($C4,'Plaza SP Tar'!$C:$C,'Plaza SP Tar'!E:E)</f>
        <v>4877566.4366779523</v>
      </c>
      <c r="F4" s="1">
        <v>10000</v>
      </c>
      <c r="G4" s="1">
        <f>_xlfn.XLOOKUP($C4,'Plaza SP Tar'!$C:$C,'Plaza SP Tar'!F:F)</f>
        <v>5574361.6419176599</v>
      </c>
      <c r="H4" s="1">
        <v>18000</v>
      </c>
      <c r="I4" s="1">
        <f>_xlfn.XLOOKUP($C4,'Plaza SP Tar'!$C:$C,'Plaza SP Tar'!G:G)</f>
        <v>6131797.8061094247</v>
      </c>
      <c r="J4" s="1">
        <v>25000</v>
      </c>
      <c r="K4" s="1">
        <f>_xlfn.XLOOKUP($C4,'Plaza SP Tar'!$C:$C,'Plaza SP Tar'!H:H)</f>
        <v>6689233.9703011913</v>
      </c>
      <c r="L4" s="1">
        <v>30000</v>
      </c>
      <c r="M4" s="1">
        <f>_xlfn.XLOOKUP($C4,'Plaza SP Tar'!$C:$C,'Plaza SP Tar'!I:I)</f>
        <v>7246670.134492957</v>
      </c>
      <c r="N4" s="1">
        <v>40000</v>
      </c>
      <c r="O4" s="1">
        <f>_xlfn.XLOOKUP($C4,'Plaza SP Tar'!$C:$C,'Plaza SP Tar'!J:J)</f>
        <v>7804106.2986847227</v>
      </c>
      <c r="P4" s="1">
        <v>45000</v>
      </c>
      <c r="Q4" s="1">
        <f>_xlfn.XLOOKUP($C4,'Plaza SP Tar'!$C:$C,'Plaza SP Tar'!K:K)</f>
        <v>8361542.4628764885</v>
      </c>
      <c r="R4">
        <v>50000</v>
      </c>
    </row>
    <row r="5" spans="1:18" x14ac:dyDescent="0.25">
      <c r="A5" t="s">
        <v>3</v>
      </c>
      <c r="B5" t="s">
        <v>4</v>
      </c>
      <c r="C5" t="s">
        <v>7</v>
      </c>
      <c r="D5" s="1">
        <v>5082905</v>
      </c>
      <c r="E5" s="1">
        <f>_xlfn.XLOOKUP($C5,'Plaza SP Tar'!$C:$C,'Plaza SP Tar'!E:E)</f>
        <v>5548153.4906555945</v>
      </c>
      <c r="F5" s="1">
        <v>10000</v>
      </c>
      <c r="G5" s="1">
        <f>_xlfn.XLOOKUP($C5,'Plaza SP Tar'!$C:$C,'Plaza SP Tar'!F:F)</f>
        <v>6340746.8464635359</v>
      </c>
      <c r="H5" s="1">
        <v>18000</v>
      </c>
      <c r="I5" s="1">
        <f>_xlfn.XLOOKUP($C5,'Plaza SP Tar'!$C:$C,'Plaza SP Tar'!G:G)</f>
        <v>6974821.531109889</v>
      </c>
      <c r="J5" s="1">
        <v>25000</v>
      </c>
      <c r="K5" s="1">
        <f>_xlfn.XLOOKUP($C5,'Plaza SP Tar'!$C:$C,'Plaza SP Tar'!H:H)</f>
        <v>7608896.2157562431</v>
      </c>
      <c r="L5" s="1">
        <v>30000</v>
      </c>
      <c r="M5" s="1">
        <f>_xlfn.XLOOKUP($C5,'Plaza SP Tar'!$C:$C,'Plaza SP Tar'!I:I)</f>
        <v>8242970.9004025972</v>
      </c>
      <c r="N5" s="1">
        <v>40000</v>
      </c>
      <c r="O5" s="1">
        <f>_xlfn.XLOOKUP($C5,'Plaza SP Tar'!$C:$C,'Plaza SP Tar'!J:J)</f>
        <v>8877045.5850489493</v>
      </c>
      <c r="P5" s="1">
        <v>45000</v>
      </c>
      <c r="Q5" s="1">
        <f>_xlfn.XLOOKUP($C5,'Plaza SP Tar'!$C:$C,'Plaza SP Tar'!K:K)</f>
        <v>9511120.2696953043</v>
      </c>
      <c r="R5">
        <v>50000</v>
      </c>
    </row>
    <row r="6" spans="1:18" x14ac:dyDescent="0.25">
      <c r="A6" t="s">
        <v>3</v>
      </c>
      <c r="B6" t="s">
        <v>4</v>
      </c>
      <c r="C6" t="s">
        <v>8</v>
      </c>
      <c r="D6" s="1">
        <v>2829647</v>
      </c>
      <c r="E6" s="1">
        <f>_xlfn.XLOOKUP($C6,'Plaza SP Tar'!$C:$C,'Plaza SP Tar'!E:E)</f>
        <v>3088650.2660138505</v>
      </c>
      <c r="F6" s="1">
        <v>10000</v>
      </c>
      <c r="G6" s="1">
        <f>_xlfn.XLOOKUP($C6,'Plaza SP Tar'!$C:$C,'Plaza SP Tar'!F:F)</f>
        <v>3529886.0183015433</v>
      </c>
      <c r="H6" s="1">
        <v>18000</v>
      </c>
      <c r="I6" s="1">
        <f>_xlfn.XLOOKUP($C6,'Plaza SP Tar'!$C:$C,'Plaza SP Tar'!G:G)</f>
        <v>3882874.620131697</v>
      </c>
      <c r="J6" s="1">
        <v>25000</v>
      </c>
      <c r="K6" s="1">
        <f>_xlfn.XLOOKUP($C6,'Plaza SP Tar'!$C:$C,'Plaza SP Tar'!H:H)</f>
        <v>4235863.2219618522</v>
      </c>
      <c r="L6" s="1">
        <v>30000</v>
      </c>
      <c r="M6" s="1">
        <f>_xlfn.XLOOKUP($C6,'Plaza SP Tar'!$C:$C,'Plaza SP Tar'!I:I)</f>
        <v>4588851.8237920059</v>
      </c>
      <c r="N6" s="1">
        <v>40000</v>
      </c>
      <c r="O6" s="1">
        <f>_xlfn.XLOOKUP($C6,'Plaza SP Tar'!$C:$C,'Plaza SP Tar'!J:J)</f>
        <v>4941840.4256221605</v>
      </c>
      <c r="P6" s="1">
        <v>45000</v>
      </c>
      <c r="Q6" s="1">
        <f>_xlfn.XLOOKUP($C6,'Plaza SP Tar'!$C:$C,'Plaza SP Tar'!K:K)</f>
        <v>5294829.0274523143</v>
      </c>
      <c r="R6">
        <v>50000</v>
      </c>
    </row>
    <row r="7" spans="1:18" x14ac:dyDescent="0.25">
      <c r="A7" t="s">
        <v>3</v>
      </c>
      <c r="B7" t="s">
        <v>4</v>
      </c>
      <c r="C7" t="s">
        <v>9</v>
      </c>
      <c r="D7" s="1">
        <v>1764009</v>
      </c>
      <c r="E7" s="1">
        <f>_xlfn.XLOOKUP($C7,'Plaza SP Tar'!$C:$C,'Plaza SP Tar'!E:E)</f>
        <v>1925472.2822673027</v>
      </c>
      <c r="F7" s="1">
        <v>10000</v>
      </c>
      <c r="G7" s="1">
        <f>_xlfn.XLOOKUP($C7,'Plaza SP Tar'!$C:$C,'Plaza SP Tar'!F:F)</f>
        <v>2200539.7511626314</v>
      </c>
      <c r="H7" s="1">
        <v>18000</v>
      </c>
      <c r="I7" s="1">
        <f>_xlfn.XLOOKUP($C7,'Plaza SP Tar'!$C:$C,'Plaza SP Tar'!G:G)</f>
        <v>2420593.7262788946</v>
      </c>
      <c r="J7" s="1">
        <v>25000</v>
      </c>
      <c r="K7" s="1">
        <f>_xlfn.XLOOKUP($C7,'Plaza SP Tar'!$C:$C,'Plaza SP Tar'!H:H)</f>
        <v>2640647.7013951577</v>
      </c>
      <c r="L7" s="1">
        <v>30000</v>
      </c>
      <c r="M7" s="1">
        <f>_xlfn.XLOOKUP($C7,'Plaza SP Tar'!$C:$C,'Plaza SP Tar'!I:I)</f>
        <v>2860701.6765114209</v>
      </c>
      <c r="N7" s="1">
        <v>40000</v>
      </c>
      <c r="O7" s="1">
        <f>_xlfn.XLOOKUP($C7,'Plaza SP Tar'!$C:$C,'Plaza SP Tar'!J:J)</f>
        <v>3080755.651627684</v>
      </c>
      <c r="P7" s="1">
        <v>45000</v>
      </c>
      <c r="Q7" s="1">
        <f>_xlfn.XLOOKUP($C7,'Plaza SP Tar'!$C:$C,'Plaza SP Tar'!K:K)</f>
        <v>3300809.6267439472</v>
      </c>
      <c r="R7">
        <v>50000</v>
      </c>
    </row>
    <row r="8" spans="1:18" x14ac:dyDescent="0.25">
      <c r="A8" t="s">
        <v>3</v>
      </c>
      <c r="B8" t="s">
        <v>4</v>
      </c>
      <c r="C8" t="s">
        <v>10</v>
      </c>
      <c r="D8" s="1">
        <v>2202234</v>
      </c>
      <c r="E8" s="1">
        <f>_xlfn.XLOOKUP($C8,'Plaza SP Tar'!$C:$C,'Plaza SP Tar'!E:E)</f>
        <v>2403808.8955706297</v>
      </c>
      <c r="F8" s="1">
        <v>10000</v>
      </c>
      <c r="G8" s="1">
        <f>_xlfn.XLOOKUP($C8,'Plaza SP Tar'!$C:$C,'Plaza SP Tar'!F:F)</f>
        <v>2747210.1663664342</v>
      </c>
      <c r="H8" s="1">
        <v>18000</v>
      </c>
      <c r="I8" s="1">
        <f>_xlfn.XLOOKUP($C8,'Plaza SP Tar'!$C:$C,'Plaza SP Tar'!G:G)</f>
        <v>3021931.1830030773</v>
      </c>
      <c r="J8" s="1">
        <v>25000</v>
      </c>
      <c r="K8" s="1">
        <f>_xlfn.XLOOKUP($C8,'Plaza SP Tar'!$C:$C,'Plaza SP Tar'!H:H)</f>
        <v>3296652.1996397208</v>
      </c>
      <c r="L8" s="1">
        <v>30000</v>
      </c>
      <c r="M8" s="1">
        <f>_xlfn.XLOOKUP($C8,'Plaza SP Tar'!$C:$C,'Plaza SP Tar'!I:I)</f>
        <v>3571373.2162763644</v>
      </c>
      <c r="N8" s="1">
        <v>40000</v>
      </c>
      <c r="O8" s="1">
        <f>_xlfn.XLOOKUP($C8,'Plaza SP Tar'!$C:$C,'Plaza SP Tar'!J:J)</f>
        <v>3846094.232913007</v>
      </c>
      <c r="P8" s="1">
        <v>45000</v>
      </c>
      <c r="Q8" s="1">
        <f>_xlfn.XLOOKUP($C8,'Plaza SP Tar'!$C:$C,'Plaza SP Tar'!K:K)</f>
        <v>4120815.2495496506</v>
      </c>
      <c r="R8">
        <v>50000</v>
      </c>
    </row>
    <row r="9" spans="1:18" x14ac:dyDescent="0.25">
      <c r="A9" t="s">
        <v>3</v>
      </c>
      <c r="B9" t="s">
        <v>4</v>
      </c>
      <c r="C9" t="s">
        <v>11</v>
      </c>
      <c r="D9" s="1">
        <v>3333392</v>
      </c>
      <c r="E9" s="1">
        <f>_xlfn.XLOOKUP($C9,'Plaza SP Tar'!$C:$C,'Plaza SP Tar'!E:E)</f>
        <v>3638504.0563464067</v>
      </c>
      <c r="F9" s="1">
        <v>10000</v>
      </c>
      <c r="G9" s="1">
        <f>_xlfn.XLOOKUP($C9,'Plaza SP Tar'!$C:$C,'Plaza SP Tar'!F:F)</f>
        <v>4158290.3501101793</v>
      </c>
      <c r="H9" s="1">
        <v>18000</v>
      </c>
      <c r="I9" s="1">
        <f>_xlfn.XLOOKUP($C9,'Plaza SP Tar'!$C:$C,'Plaza SP Tar'!G:G)</f>
        <v>4574119.3851211965</v>
      </c>
      <c r="J9" s="1">
        <v>25000</v>
      </c>
      <c r="K9" s="1">
        <f>_xlfn.XLOOKUP($C9,'Plaza SP Tar'!$C:$C,'Plaza SP Tar'!H:H)</f>
        <v>4989948.4201322151</v>
      </c>
      <c r="L9" s="1">
        <v>30000</v>
      </c>
      <c r="M9" s="1">
        <f>_xlfn.XLOOKUP($C9,'Plaza SP Tar'!$C:$C,'Plaza SP Tar'!I:I)</f>
        <v>5405777.4551432328</v>
      </c>
      <c r="N9" s="1">
        <v>40000</v>
      </c>
      <c r="O9" s="1">
        <f>_xlfn.XLOOKUP($C9,'Plaza SP Tar'!$C:$C,'Plaza SP Tar'!J:J)</f>
        <v>5821606.4901542505</v>
      </c>
      <c r="P9" s="1">
        <v>45000</v>
      </c>
      <c r="Q9" s="1">
        <f>_xlfn.XLOOKUP($C9,'Plaza SP Tar'!$C:$C,'Plaza SP Tar'!K:K)</f>
        <v>6237435.5251652682</v>
      </c>
      <c r="R9">
        <v>50000</v>
      </c>
    </row>
    <row r="10" spans="1:18" x14ac:dyDescent="0.25">
      <c r="A10" t="s">
        <v>3</v>
      </c>
      <c r="B10" t="s">
        <v>4</v>
      </c>
      <c r="C10" t="s">
        <v>12</v>
      </c>
      <c r="D10" s="1">
        <v>2474626</v>
      </c>
      <c r="E10" s="1">
        <f>_xlfn.XLOOKUP($C10,'Plaza SP Tar'!$C:$C,'Plaza SP Tar'!E:E)</f>
        <v>2701133.4817328067</v>
      </c>
      <c r="F10" s="1">
        <v>10000</v>
      </c>
      <c r="G10" s="1">
        <f>_xlfn.XLOOKUP($C10,'Plaza SP Tar'!$C:$C,'Plaza SP Tar'!F:F)</f>
        <v>3087009.6934089218</v>
      </c>
      <c r="H10" s="1">
        <v>18000</v>
      </c>
      <c r="I10" s="1">
        <f>_xlfn.XLOOKUP($C10,'Plaza SP Tar'!$C:$C,'Plaza SP Tar'!G:G)</f>
        <v>3395710.6627498134</v>
      </c>
      <c r="J10" s="1">
        <v>25000</v>
      </c>
      <c r="K10" s="1">
        <f>_xlfn.XLOOKUP($C10,'Plaza SP Tar'!$C:$C,'Plaza SP Tar'!H:H)</f>
        <v>3704411.6320907059</v>
      </c>
      <c r="L10" s="1">
        <v>30000</v>
      </c>
      <c r="M10" s="1">
        <f>_xlfn.XLOOKUP($C10,'Plaza SP Tar'!$C:$C,'Plaza SP Tar'!I:I)</f>
        <v>4013112.601431598</v>
      </c>
      <c r="N10" s="1">
        <v>40000</v>
      </c>
      <c r="O10" s="1">
        <f>_xlfn.XLOOKUP($C10,'Plaza SP Tar'!$C:$C,'Plaza SP Tar'!J:J)</f>
        <v>4321813.5707724895</v>
      </c>
      <c r="P10" s="1">
        <v>45000</v>
      </c>
      <c r="Q10" s="1">
        <f>_xlfn.XLOOKUP($C10,'Plaza SP Tar'!$C:$C,'Plaza SP Tar'!K:K)</f>
        <v>4630514.540113382</v>
      </c>
      <c r="R10">
        <v>50000</v>
      </c>
    </row>
    <row r="11" spans="1:18" x14ac:dyDescent="0.25">
      <c r="A11" t="s">
        <v>3</v>
      </c>
      <c r="B11" t="s">
        <v>4</v>
      </c>
      <c r="C11" t="s">
        <v>13</v>
      </c>
      <c r="D11" s="1">
        <v>1856175</v>
      </c>
      <c r="E11" s="1">
        <f>_xlfn.XLOOKUP($C11,'Plaza SP Tar'!$C:$C,'Plaza SP Tar'!E:E)</f>
        <v>2026074.4211268257</v>
      </c>
      <c r="F11" s="1">
        <v>10000</v>
      </c>
      <c r="G11" s="1">
        <f>_xlfn.XLOOKUP($C11,'Plaza SP Tar'!$C:$C,'Plaza SP Tar'!F:F)</f>
        <v>2315513.6241449434</v>
      </c>
      <c r="H11" s="1">
        <v>18000</v>
      </c>
      <c r="I11" s="1">
        <f>_xlfn.XLOOKUP($C11,'Plaza SP Tar'!$C:$C,'Plaza SP Tar'!G:G)</f>
        <v>2547064.9865594376</v>
      </c>
      <c r="J11" s="1">
        <v>25000</v>
      </c>
      <c r="K11" s="1">
        <f>_xlfn.XLOOKUP($C11,'Plaza SP Tar'!$C:$C,'Plaza SP Tar'!H:H)</f>
        <v>2778616.3489739322</v>
      </c>
      <c r="L11" s="1">
        <v>30000</v>
      </c>
      <c r="M11" s="1">
        <f>_xlfn.XLOOKUP($C11,'Plaza SP Tar'!$C:$C,'Plaza SP Tar'!I:I)</f>
        <v>3010167.7113884268</v>
      </c>
      <c r="N11" s="1">
        <v>40000</v>
      </c>
      <c r="O11" s="1">
        <f>_xlfn.XLOOKUP($C11,'Plaza SP Tar'!$C:$C,'Plaza SP Tar'!J:J)</f>
        <v>3241719.0738029205</v>
      </c>
      <c r="P11" s="1">
        <v>45000</v>
      </c>
      <c r="Q11" s="1">
        <f>_xlfn.XLOOKUP($C11,'Plaza SP Tar'!$C:$C,'Plaza SP Tar'!K:K)</f>
        <v>3473270.4362174151</v>
      </c>
      <c r="R11">
        <v>50000</v>
      </c>
    </row>
    <row r="12" spans="1:18" x14ac:dyDescent="0.25">
      <c r="A12" t="s">
        <v>3</v>
      </c>
      <c r="B12" t="s">
        <v>4</v>
      </c>
      <c r="C12" t="s">
        <v>14</v>
      </c>
      <c r="D12" s="1">
        <v>3801216</v>
      </c>
      <c r="E12" s="1">
        <f>_xlfn.XLOOKUP($C12,'Plaza SP Tar'!$C:$C,'Plaza SP Tar'!E:E)</f>
        <v>4149148.9254935705</v>
      </c>
      <c r="F12" s="1">
        <v>10000</v>
      </c>
      <c r="G12" s="1">
        <f>_xlfn.XLOOKUP($C12,'Plaza SP Tar'!$C:$C,'Plaza SP Tar'!F:F)</f>
        <v>4741884.4862783663</v>
      </c>
      <c r="H12" s="1">
        <v>18000</v>
      </c>
      <c r="I12" s="1">
        <f>_xlfn.XLOOKUP($C12,'Plaza SP Tar'!$C:$C,'Plaza SP Tar'!G:G)</f>
        <v>5216072.9349062024</v>
      </c>
      <c r="J12" s="1">
        <v>25000</v>
      </c>
      <c r="K12" s="1">
        <f>_xlfn.XLOOKUP($C12,'Plaza SP Tar'!$C:$C,'Plaza SP Tar'!H:H)</f>
        <v>5690261.3835340384</v>
      </c>
      <c r="L12" s="1">
        <v>30000</v>
      </c>
      <c r="M12" s="1">
        <f>_xlfn.XLOOKUP($C12,'Plaza SP Tar'!$C:$C,'Plaza SP Tar'!I:I)</f>
        <v>6164449.8321618754</v>
      </c>
      <c r="N12" s="1">
        <v>40000</v>
      </c>
      <c r="O12" s="1">
        <f>_xlfn.XLOOKUP($C12,'Plaza SP Tar'!$C:$C,'Plaza SP Tar'!J:J)</f>
        <v>6638638.2807897115</v>
      </c>
      <c r="P12" s="1">
        <v>45000</v>
      </c>
      <c r="Q12" s="1">
        <f>_xlfn.XLOOKUP($C12,'Plaza SP Tar'!$C:$C,'Plaza SP Tar'!K:K)</f>
        <v>7112826.7294175485</v>
      </c>
      <c r="R12">
        <v>50000</v>
      </c>
    </row>
    <row r="13" spans="1:18" x14ac:dyDescent="0.25">
      <c r="A13" t="s">
        <v>3</v>
      </c>
      <c r="B13" t="s">
        <v>4</v>
      </c>
      <c r="C13" t="s">
        <v>15</v>
      </c>
      <c r="D13" s="1">
        <v>4576267</v>
      </c>
      <c r="E13" s="1">
        <f>_xlfn.XLOOKUP($C13,'Plaza SP Tar'!$C:$C,'Plaza SP Tar'!E:E)</f>
        <v>4995141.8982298514</v>
      </c>
      <c r="F13" s="1">
        <v>10000</v>
      </c>
      <c r="G13" s="1">
        <f>_xlfn.XLOOKUP($C13,'Plaza SP Tar'!$C:$C,'Plaza SP Tar'!F:F)</f>
        <v>5708733.5979769733</v>
      </c>
      <c r="H13" s="1">
        <v>18000</v>
      </c>
      <c r="I13" s="1">
        <f>_xlfn.XLOOKUP($C13,'Plaza SP Tar'!$C:$C,'Plaza SP Tar'!G:G)</f>
        <v>6279606.9577746699</v>
      </c>
      <c r="J13" s="1">
        <v>25000</v>
      </c>
      <c r="K13" s="1">
        <f>_xlfn.XLOOKUP($C13,'Plaza SP Tar'!$C:$C,'Plaza SP Tar'!H:H)</f>
        <v>6850480.3175723674</v>
      </c>
      <c r="L13" s="1">
        <v>30000</v>
      </c>
      <c r="M13" s="1">
        <f>_xlfn.XLOOKUP($C13,'Plaza SP Tar'!$C:$C,'Plaza SP Tar'!I:I)</f>
        <v>7421353.6773700649</v>
      </c>
      <c r="N13" s="1">
        <v>40000</v>
      </c>
      <c r="O13" s="1">
        <f>_xlfn.XLOOKUP($C13,'Plaza SP Tar'!$C:$C,'Plaza SP Tar'!J:J)</f>
        <v>7992227.0371677615</v>
      </c>
      <c r="P13" s="1">
        <v>45000</v>
      </c>
      <c r="Q13" s="1">
        <f>_xlfn.XLOOKUP($C13,'Plaza SP Tar'!$C:$C,'Plaza SP Tar'!K:K)</f>
        <v>8563100.396965459</v>
      </c>
      <c r="R13">
        <v>50000</v>
      </c>
    </row>
    <row r="14" spans="1:18" x14ac:dyDescent="0.25">
      <c r="A14" t="s">
        <v>3</v>
      </c>
      <c r="B14" t="s">
        <v>4</v>
      </c>
      <c r="C14" t="s">
        <v>16</v>
      </c>
      <c r="D14" s="1">
        <v>2121144</v>
      </c>
      <c r="E14" s="1">
        <f>_xlfn.XLOOKUP($C14,'Plaza SP Tar'!$C:$C,'Plaza SP Tar'!E:E)</f>
        <v>2315296.5652089054</v>
      </c>
      <c r="F14" s="1">
        <v>10000</v>
      </c>
      <c r="G14" s="1">
        <f>_xlfn.XLOOKUP($C14,'Plaza SP Tar'!$C:$C,'Plaza SP Tar'!F:F)</f>
        <v>2646053.2173816059</v>
      </c>
      <c r="H14" s="1">
        <v>18000</v>
      </c>
      <c r="I14" s="1">
        <f>_xlfn.XLOOKUP($C14,'Plaza SP Tar'!$C:$C,'Plaza SP Tar'!G:G)</f>
        <v>2910658.5391197661</v>
      </c>
      <c r="J14" s="1">
        <v>25000</v>
      </c>
      <c r="K14" s="1">
        <f>_xlfn.XLOOKUP($C14,'Plaza SP Tar'!$C:$C,'Plaza SP Tar'!H:H)</f>
        <v>3175263.8608579268</v>
      </c>
      <c r="L14" s="1">
        <v>30000</v>
      </c>
      <c r="M14" s="1">
        <f>_xlfn.XLOOKUP($C14,'Plaza SP Tar'!$C:$C,'Plaza SP Tar'!I:I)</f>
        <v>3439869.1825960875</v>
      </c>
      <c r="N14" s="1">
        <v>40000</v>
      </c>
      <c r="O14" s="1">
        <f>_xlfn.XLOOKUP($C14,'Plaza SP Tar'!$C:$C,'Plaza SP Tar'!J:J)</f>
        <v>3704474.5043342477</v>
      </c>
      <c r="P14" s="1">
        <v>45000</v>
      </c>
      <c r="Q14" s="1">
        <f>_xlfn.XLOOKUP($C14,'Plaza SP Tar'!$C:$C,'Plaza SP Tar'!K:K)</f>
        <v>3969079.8260724084</v>
      </c>
      <c r="R14">
        <v>50000</v>
      </c>
    </row>
    <row r="15" spans="1:18" x14ac:dyDescent="0.25">
      <c r="A15" t="s">
        <v>3</v>
      </c>
      <c r="B15" t="s">
        <v>4</v>
      </c>
      <c r="C15" t="s">
        <v>17</v>
      </c>
      <c r="D15" s="1">
        <v>3103412</v>
      </c>
      <c r="E15" s="1">
        <f>_xlfn.XLOOKUP($C15,'Plaza SP Tar'!$C:$C,'Plaza SP Tar'!E:E)</f>
        <v>3387473.5256201834</v>
      </c>
      <c r="F15" s="1">
        <v>10000</v>
      </c>
      <c r="G15" s="1">
        <f>_xlfn.XLOOKUP($C15,'Plaza SP Tar'!$C:$C,'Plaza SP Tar'!F:F)</f>
        <v>3871398.3149944954</v>
      </c>
      <c r="H15" s="1">
        <v>18000</v>
      </c>
      <c r="I15" s="1">
        <f>_xlfn.XLOOKUP($C15,'Plaza SP Tar'!$C:$C,'Plaza SP Tar'!G:G)</f>
        <v>4258538.1464939443</v>
      </c>
      <c r="J15" s="1">
        <v>25000</v>
      </c>
      <c r="K15" s="1">
        <f>_xlfn.XLOOKUP($C15,'Plaza SP Tar'!$C:$C,'Plaza SP Tar'!H:H)</f>
        <v>4645677.9779933942</v>
      </c>
      <c r="L15" s="1">
        <v>30000</v>
      </c>
      <c r="M15" s="1">
        <f>_xlfn.XLOOKUP($C15,'Plaza SP Tar'!$C:$C,'Plaza SP Tar'!I:I)</f>
        <v>5032817.8094928442</v>
      </c>
      <c r="N15" s="1">
        <v>40000</v>
      </c>
      <c r="O15" s="1">
        <f>_xlfn.XLOOKUP($C15,'Plaza SP Tar'!$C:$C,'Plaza SP Tar'!J:J)</f>
        <v>5419957.6409922931</v>
      </c>
      <c r="P15" s="1">
        <v>45000</v>
      </c>
      <c r="Q15" s="1">
        <f>_xlfn.XLOOKUP($C15,'Plaza SP Tar'!$C:$C,'Plaza SP Tar'!K:K)</f>
        <v>5807097.472491743</v>
      </c>
      <c r="R15">
        <v>50000</v>
      </c>
    </row>
    <row r="16" spans="1:18" x14ac:dyDescent="0.25">
      <c r="A16" t="s">
        <v>3</v>
      </c>
      <c r="B16" t="s">
        <v>4</v>
      </c>
      <c r="C16" t="s">
        <v>18</v>
      </c>
      <c r="D16" s="1">
        <v>2390111</v>
      </c>
      <c r="E16" s="1">
        <f>_xlfn.XLOOKUP($C16,'Plaza SP Tar'!$C:$C,'Plaza SP Tar'!E:E)</f>
        <v>2608882.6542507354</v>
      </c>
      <c r="F16" s="1">
        <v>10000</v>
      </c>
      <c r="G16" s="1">
        <f>_xlfn.XLOOKUP($C16,'Plaza SP Tar'!$C:$C,'Plaza SP Tar'!F:F)</f>
        <v>2981580.1762865544</v>
      </c>
      <c r="H16" s="1">
        <v>18000</v>
      </c>
      <c r="I16" s="1">
        <f>_xlfn.XLOOKUP($C16,'Plaza SP Tar'!$C:$C,'Plaza SP Tar'!G:G)</f>
        <v>3279738.1939152097</v>
      </c>
      <c r="J16" s="1">
        <v>25000</v>
      </c>
      <c r="K16" s="1">
        <f>_xlfn.XLOOKUP($C16,'Plaza SP Tar'!$C:$C,'Plaza SP Tar'!H:H)</f>
        <v>3577896.211543865</v>
      </c>
      <c r="L16" s="1">
        <v>30000</v>
      </c>
      <c r="M16" s="1">
        <f>_xlfn.XLOOKUP($C16,'Plaza SP Tar'!$C:$C,'Plaza SP Tar'!I:I)</f>
        <v>3876054.2291725208</v>
      </c>
      <c r="N16" s="1">
        <v>40000</v>
      </c>
      <c r="O16" s="1">
        <f>_xlfn.XLOOKUP($C16,'Plaza SP Tar'!$C:$C,'Plaza SP Tar'!J:J)</f>
        <v>4174212.2468011756</v>
      </c>
      <c r="P16" s="1">
        <v>45000</v>
      </c>
      <c r="Q16" s="1">
        <f>_xlfn.XLOOKUP($C16,'Plaza SP Tar'!$C:$C,'Plaza SP Tar'!K:K)</f>
        <v>4472370.2644298319</v>
      </c>
      <c r="R16">
        <v>50000</v>
      </c>
    </row>
    <row r="17" spans="1:18" x14ac:dyDescent="0.25">
      <c r="A17" t="s">
        <v>3</v>
      </c>
      <c r="B17" t="s">
        <v>4</v>
      </c>
      <c r="C17" t="s">
        <v>19</v>
      </c>
      <c r="D17" s="1">
        <v>3013993</v>
      </c>
      <c r="E17" s="1">
        <f>_xlfn.XLOOKUP($C17,'Plaza SP Tar'!$C:$C,'Plaza SP Tar'!E:E)</f>
        <v>3289869.8251809794</v>
      </c>
      <c r="F17" s="1">
        <v>10000</v>
      </c>
      <c r="G17" s="1">
        <f>_xlfn.XLOOKUP($C17,'Plaza SP Tar'!$C:$C,'Plaza SP Tar'!F:F)</f>
        <v>3759851.2287782622</v>
      </c>
      <c r="H17" s="1">
        <v>18000</v>
      </c>
      <c r="I17" s="1">
        <f>_xlfn.XLOOKUP($C17,'Plaza SP Tar'!$C:$C,'Plaza SP Tar'!G:G)</f>
        <v>4135836.3516560881</v>
      </c>
      <c r="J17" s="1">
        <v>25000</v>
      </c>
      <c r="K17" s="1">
        <f>_xlfn.XLOOKUP($C17,'Plaza SP Tar'!$C:$C,'Plaza SP Tar'!H:H)</f>
        <v>4511821.4745339146</v>
      </c>
      <c r="L17" s="1">
        <v>30000</v>
      </c>
      <c r="M17" s="1">
        <f>_xlfn.XLOOKUP($C17,'Plaza SP Tar'!$C:$C,'Plaza SP Tar'!I:I)</f>
        <v>4887806.5974117406</v>
      </c>
      <c r="N17" s="1">
        <v>40000</v>
      </c>
      <c r="O17" s="1">
        <f>_xlfn.XLOOKUP($C17,'Plaza SP Tar'!$C:$C,'Plaza SP Tar'!J:J)</f>
        <v>5263791.7202895666</v>
      </c>
      <c r="P17" s="1">
        <v>45000</v>
      </c>
      <c r="Q17" s="1">
        <f>_xlfn.XLOOKUP($C17,'Plaza SP Tar'!$C:$C,'Plaza SP Tar'!K:K)</f>
        <v>5639776.8431673935</v>
      </c>
      <c r="R17">
        <v>50000</v>
      </c>
    </row>
    <row r="18" spans="1:18" x14ac:dyDescent="0.25">
      <c r="A18" t="s">
        <v>3</v>
      </c>
      <c r="B18" t="s">
        <v>20</v>
      </c>
      <c r="C18" t="s">
        <v>21</v>
      </c>
      <c r="D18" s="1">
        <v>2925946</v>
      </c>
      <c r="E18" s="1">
        <f>_xlfn.XLOOKUP($C18,'Plaza SP Tar'!$C:$C,'Plaza SP Tar'!E:E)</f>
        <v>3193763.7066539261</v>
      </c>
      <c r="F18" s="1">
        <v>10000</v>
      </c>
      <c r="G18" s="1">
        <f>_xlfn.XLOOKUP($C18,'Plaza SP Tar'!$C:$C,'Plaza SP Tar'!F:F)</f>
        <v>3650015.6647473439</v>
      </c>
      <c r="H18" s="1">
        <v>18000</v>
      </c>
      <c r="I18" s="1">
        <f>_xlfn.XLOOKUP($C18,'Plaza SP Tar'!$C:$C,'Plaza SP Tar'!G:G)</f>
        <v>4015017.2312220777</v>
      </c>
      <c r="J18" s="1">
        <v>25000</v>
      </c>
      <c r="K18" s="1">
        <f>_xlfn.XLOOKUP($C18,'Plaza SP Tar'!$C:$C,'Plaza SP Tar'!H:H)</f>
        <v>4380018.7976968121</v>
      </c>
      <c r="L18" s="1">
        <v>30000</v>
      </c>
      <c r="M18" s="1">
        <f>_xlfn.XLOOKUP($C18,'Plaza SP Tar'!$C:$C,'Plaza SP Tar'!I:I)</f>
        <v>4745020.3641715469</v>
      </c>
      <c r="N18" s="1">
        <v>40000</v>
      </c>
      <c r="O18" s="1">
        <f>_xlfn.XLOOKUP($C18,'Plaza SP Tar'!$C:$C,'Plaza SP Tar'!J:J)</f>
        <v>5110021.9306462808</v>
      </c>
      <c r="P18" s="1">
        <v>45000</v>
      </c>
      <c r="Q18" s="1">
        <f>_xlfn.XLOOKUP($C18,'Plaza SP Tar'!$C:$C,'Plaza SP Tar'!K:K)</f>
        <v>5475023.4971210156</v>
      </c>
      <c r="R18">
        <v>50000</v>
      </c>
    </row>
    <row r="19" spans="1:18" x14ac:dyDescent="0.25">
      <c r="A19" t="s">
        <v>3</v>
      </c>
      <c r="B19" t="s">
        <v>20</v>
      </c>
      <c r="C19" t="s">
        <v>22</v>
      </c>
      <c r="D19" s="1">
        <v>3260852</v>
      </c>
      <c r="E19" s="1">
        <f>_xlfn.XLOOKUP($C19,'Plaza SP Tar'!$C:$C,'Plaza SP Tar'!E:E)</f>
        <v>3559324.3246354745</v>
      </c>
      <c r="F19" s="1">
        <v>10000</v>
      </c>
      <c r="G19" s="1">
        <f>_xlfn.XLOOKUP($C19,'Plaza SP Tar'!$C:$C,'Plaza SP Tar'!F:F)</f>
        <v>4067799.2281548278</v>
      </c>
      <c r="H19" s="1">
        <v>18000</v>
      </c>
      <c r="I19" s="1">
        <f>_xlfn.XLOOKUP($C19,'Plaza SP Tar'!$C:$C,'Plaza SP Tar'!G:G)</f>
        <v>4474579.15097031</v>
      </c>
      <c r="J19" s="1">
        <v>25000</v>
      </c>
      <c r="K19" s="1">
        <f>_xlfn.XLOOKUP($C19,'Plaza SP Tar'!$C:$C,'Plaza SP Tar'!H:H)</f>
        <v>4881359.073785793</v>
      </c>
      <c r="L19" s="1">
        <v>30000</v>
      </c>
      <c r="M19" s="1">
        <f>_xlfn.XLOOKUP($C19,'Plaza SP Tar'!$C:$C,'Plaza SP Tar'!I:I)</f>
        <v>5288138.9966012761</v>
      </c>
      <c r="N19" s="1">
        <v>40000</v>
      </c>
      <c r="O19" s="1">
        <f>_xlfn.XLOOKUP($C19,'Plaza SP Tar'!$C:$C,'Plaza SP Tar'!J:J)</f>
        <v>5694918.9194167582</v>
      </c>
      <c r="P19" s="1">
        <v>45000</v>
      </c>
      <c r="Q19" s="1">
        <f>_xlfn.XLOOKUP($C19,'Plaza SP Tar'!$C:$C,'Plaza SP Tar'!K:K)</f>
        <v>6101698.8422322413</v>
      </c>
      <c r="R19">
        <v>50000</v>
      </c>
    </row>
    <row r="20" spans="1:18" x14ac:dyDescent="0.25">
      <c r="A20" t="s">
        <v>3</v>
      </c>
      <c r="B20" t="s">
        <v>20</v>
      </c>
      <c r="C20" t="s">
        <v>23</v>
      </c>
      <c r="D20" s="1">
        <v>3152064</v>
      </c>
      <c r="E20" s="1">
        <f>_xlfn.XLOOKUP($C20,'Plaza SP Tar'!$C:$C,'Plaza SP Tar'!E:E)</f>
        <v>3440578.7407732066</v>
      </c>
      <c r="F20" s="1">
        <v>10000</v>
      </c>
      <c r="G20" s="1">
        <f>_xlfn.XLOOKUP($C20,'Plaza SP Tar'!$C:$C,'Plaza SP Tar'!F:F)</f>
        <v>3932089.9894550932</v>
      </c>
      <c r="H20" s="1">
        <v>18000</v>
      </c>
      <c r="I20" s="1">
        <f>_xlfn.XLOOKUP($C20,'Plaza SP Tar'!$C:$C,'Plaza SP Tar'!G:G)</f>
        <v>4325298.9884006018</v>
      </c>
      <c r="J20" s="1">
        <v>25000</v>
      </c>
      <c r="K20" s="1">
        <f>_xlfn.XLOOKUP($C20,'Plaza SP Tar'!$C:$C,'Plaza SP Tar'!H:H)</f>
        <v>4718507.9873461118</v>
      </c>
      <c r="L20" s="1">
        <v>30000</v>
      </c>
      <c r="M20" s="1">
        <f>_xlfn.XLOOKUP($C20,'Plaza SP Tar'!$C:$C,'Plaza SP Tar'!I:I)</f>
        <v>5111716.9862916209</v>
      </c>
      <c r="N20" s="1">
        <v>40000</v>
      </c>
      <c r="O20" s="1">
        <f>_xlfn.XLOOKUP($C20,'Plaza SP Tar'!$C:$C,'Plaza SP Tar'!J:J)</f>
        <v>5504925.98523713</v>
      </c>
      <c r="P20" s="1">
        <v>45000</v>
      </c>
      <c r="Q20" s="1">
        <f>_xlfn.XLOOKUP($C20,'Plaza SP Tar'!$C:$C,'Plaza SP Tar'!K:K)</f>
        <v>5898134.984182639</v>
      </c>
      <c r="R20">
        <v>50000</v>
      </c>
    </row>
    <row r="21" spans="1:18" x14ac:dyDescent="0.25">
      <c r="A21" t="s">
        <v>3</v>
      </c>
      <c r="B21" t="s">
        <v>20</v>
      </c>
      <c r="C21" t="s">
        <v>24</v>
      </c>
      <c r="D21" s="1">
        <v>1983246</v>
      </c>
      <c r="E21" s="1">
        <f>_xlfn.XLOOKUP($C21,'Plaza SP Tar'!$C:$C,'Plaza SP Tar'!E:E)</f>
        <v>2164776.4846537057</v>
      </c>
      <c r="F21" s="1">
        <v>10000</v>
      </c>
      <c r="G21" s="1">
        <f>_xlfn.XLOOKUP($C21,'Plaza SP Tar'!$C:$C,'Plaza SP Tar'!F:F)</f>
        <v>2474030.2681756639</v>
      </c>
      <c r="H21" s="1">
        <v>18000</v>
      </c>
      <c r="I21" s="1">
        <f>_xlfn.XLOOKUP($C21,'Plaza SP Tar'!$C:$C,'Plaza SP Tar'!G:G)</f>
        <v>2721433.2949932297</v>
      </c>
      <c r="J21" s="1">
        <v>25000</v>
      </c>
      <c r="K21" s="1">
        <f>_xlfn.XLOOKUP($C21,'Plaza SP Tar'!$C:$C,'Plaza SP Tar'!H:H)</f>
        <v>2968836.3218107964</v>
      </c>
      <c r="L21" s="1">
        <v>30000</v>
      </c>
      <c r="M21" s="1">
        <f>_xlfn.XLOOKUP($C21,'Plaza SP Tar'!$C:$C,'Plaza SP Tar'!I:I)</f>
        <v>3216239.3486283631</v>
      </c>
      <c r="N21" s="1">
        <v>40000</v>
      </c>
      <c r="O21" s="1">
        <f>_xlfn.XLOOKUP($C21,'Plaza SP Tar'!$C:$C,'Plaza SP Tar'!J:J)</f>
        <v>3463642.3754459289</v>
      </c>
      <c r="P21" s="1">
        <v>45000</v>
      </c>
      <c r="Q21" s="1">
        <f>_xlfn.XLOOKUP($C21,'Plaza SP Tar'!$C:$C,'Plaza SP Tar'!K:K)</f>
        <v>3711045.4022634956</v>
      </c>
      <c r="R21">
        <v>50000</v>
      </c>
    </row>
    <row r="22" spans="1:18" x14ac:dyDescent="0.25">
      <c r="A22" t="s">
        <v>3</v>
      </c>
      <c r="B22" t="s">
        <v>20</v>
      </c>
      <c r="C22" t="s">
        <v>25</v>
      </c>
      <c r="D22" s="1">
        <v>5427819</v>
      </c>
      <c r="E22" s="1">
        <f>_xlfn.XLOOKUP($C22,'Plaza SP Tar'!$C:$C,'Plaza SP Tar'!E:E)</f>
        <v>5924638.1609525969</v>
      </c>
      <c r="F22" s="1">
        <v>10000</v>
      </c>
      <c r="G22" s="1">
        <f>_xlfn.XLOOKUP($C22,'Plaza SP Tar'!$C:$C,'Plaza SP Tar'!F:F)</f>
        <v>6771015.0410886817</v>
      </c>
      <c r="H22" s="1">
        <v>18000</v>
      </c>
      <c r="I22" s="1">
        <f>_xlfn.XLOOKUP($C22,'Plaza SP Tar'!$C:$C,'Plaza SP Tar'!G:G)</f>
        <v>7448116.5451975493</v>
      </c>
      <c r="J22" s="1">
        <v>25000</v>
      </c>
      <c r="K22" s="1">
        <f>_xlfn.XLOOKUP($C22,'Plaza SP Tar'!$C:$C,'Plaza SP Tar'!H:H)</f>
        <v>8125218.0493064178</v>
      </c>
      <c r="L22" s="1">
        <v>30000</v>
      </c>
      <c r="M22" s="1">
        <f>_xlfn.XLOOKUP($C22,'Plaza SP Tar'!$C:$C,'Plaza SP Tar'!I:I)</f>
        <v>8802319.5534152854</v>
      </c>
      <c r="N22" s="1">
        <v>40000</v>
      </c>
      <c r="O22" s="1">
        <f>_xlfn.XLOOKUP($C22,'Plaza SP Tar'!$C:$C,'Plaza SP Tar'!J:J)</f>
        <v>9479421.057524154</v>
      </c>
      <c r="P22" s="1">
        <v>45000</v>
      </c>
      <c r="Q22" s="1">
        <f>_xlfn.XLOOKUP($C22,'Plaza SP Tar'!$C:$C,'Plaza SP Tar'!K:K)</f>
        <v>10156522.561633023</v>
      </c>
      <c r="R22">
        <v>50000</v>
      </c>
    </row>
    <row r="23" spans="1:18" x14ac:dyDescent="0.25">
      <c r="A23" t="s">
        <v>3</v>
      </c>
      <c r="B23" t="s">
        <v>20</v>
      </c>
      <c r="C23" t="s">
        <v>26</v>
      </c>
      <c r="D23" s="1">
        <v>2234606</v>
      </c>
      <c r="E23" s="1">
        <f>_xlfn.XLOOKUP($C23,'Plaza SP Tar'!$C:$C,'Plaza SP Tar'!E:E)</f>
        <v>2439143.9696669397</v>
      </c>
      <c r="F23" s="1">
        <v>10000</v>
      </c>
      <c r="G23" s="1">
        <f>_xlfn.XLOOKUP($C23,'Plaza SP Tar'!$C:$C,'Plaza SP Tar'!F:F)</f>
        <v>2787593.108190788</v>
      </c>
      <c r="H23" s="1">
        <v>18000</v>
      </c>
      <c r="I23" s="1">
        <f>_xlfn.XLOOKUP($C23,'Plaza SP Tar'!$C:$C,'Plaza SP Tar'!G:G)</f>
        <v>3066352.4190098662</v>
      </c>
      <c r="J23" s="1">
        <v>25000</v>
      </c>
      <c r="K23" s="1">
        <f>_xlfn.XLOOKUP($C23,'Plaza SP Tar'!$C:$C,'Plaza SP Tar'!H:H)</f>
        <v>3345111.7298289454</v>
      </c>
      <c r="L23" s="1">
        <v>30000</v>
      </c>
      <c r="M23" s="1">
        <f>_xlfn.XLOOKUP($C23,'Plaza SP Tar'!$C:$C,'Plaza SP Tar'!I:I)</f>
        <v>3623871.0406480241</v>
      </c>
      <c r="N23" s="1">
        <v>40000</v>
      </c>
      <c r="O23" s="1">
        <f>_xlfn.XLOOKUP($C23,'Plaza SP Tar'!$C:$C,'Plaza SP Tar'!J:J)</f>
        <v>3902630.3514671028</v>
      </c>
      <c r="P23" s="1">
        <v>45000</v>
      </c>
      <c r="Q23" s="1">
        <f>_xlfn.XLOOKUP($C23,'Plaza SP Tar'!$C:$C,'Plaza SP Tar'!K:K)</f>
        <v>4181389.6622861815</v>
      </c>
      <c r="R23">
        <v>50000</v>
      </c>
    </row>
    <row r="24" spans="1:18" x14ac:dyDescent="0.25">
      <c r="A24" t="s">
        <v>3</v>
      </c>
      <c r="B24" t="s">
        <v>20</v>
      </c>
      <c r="C24" t="s">
        <v>27</v>
      </c>
      <c r="D24" s="1">
        <v>4970703</v>
      </c>
      <c r="E24" s="1">
        <f>_xlfn.XLOOKUP($C24,'Plaza SP Tar'!$C:$C,'Plaza SP Tar'!E:E)</f>
        <v>5425681.4165250454</v>
      </c>
      <c r="F24" s="1">
        <v>10000</v>
      </c>
      <c r="G24" s="1">
        <f>_xlfn.XLOOKUP($C24,'Plaza SP Tar'!$C:$C,'Plaza SP Tar'!F:F)</f>
        <v>6200778.7617429085</v>
      </c>
      <c r="H24" s="1">
        <v>18000</v>
      </c>
      <c r="I24" s="1">
        <f>_xlfn.XLOOKUP($C24,'Plaza SP Tar'!$C:$C,'Plaza SP Tar'!G:G)</f>
        <v>6820856.6379171992</v>
      </c>
      <c r="J24" s="1">
        <v>25000</v>
      </c>
      <c r="K24" s="1">
        <f>_xlfn.XLOOKUP($C24,'Plaza SP Tar'!$C:$C,'Plaza SP Tar'!H:H)</f>
        <v>7440934.5140914898</v>
      </c>
      <c r="L24" s="1">
        <v>30000</v>
      </c>
      <c r="M24" s="1">
        <f>_xlfn.XLOOKUP($C24,'Plaza SP Tar'!$C:$C,'Plaza SP Tar'!I:I)</f>
        <v>8061012.3902657814</v>
      </c>
      <c r="N24" s="1">
        <v>40000</v>
      </c>
      <c r="O24" s="1">
        <f>_xlfn.XLOOKUP($C24,'Plaza SP Tar'!$C:$C,'Plaza SP Tar'!J:J)</f>
        <v>8681090.2664400712</v>
      </c>
      <c r="P24" s="1">
        <v>45000</v>
      </c>
      <c r="Q24" s="1">
        <f>_xlfn.XLOOKUP($C24,'Plaza SP Tar'!$C:$C,'Plaza SP Tar'!K:K)</f>
        <v>9301168.1426143628</v>
      </c>
      <c r="R24">
        <v>50000</v>
      </c>
    </row>
    <row r="25" spans="1:18" x14ac:dyDescent="0.25">
      <c r="A25" t="s">
        <v>3</v>
      </c>
      <c r="B25" t="s">
        <v>20</v>
      </c>
      <c r="C25" t="s">
        <v>28</v>
      </c>
      <c r="D25" s="1">
        <v>3982479</v>
      </c>
      <c r="E25" s="1">
        <f>_xlfn.XLOOKUP($C25,'Plaza SP Tar'!$C:$C,'Plaza SP Tar'!E:E)</f>
        <v>4347003.2914863843</v>
      </c>
      <c r="F25" s="1">
        <v>10000</v>
      </c>
      <c r="G25" s="1">
        <f>_xlfn.XLOOKUP($C25,'Plaza SP Tar'!$C:$C,'Plaza SP Tar'!F:F)</f>
        <v>4968003.7616987247</v>
      </c>
      <c r="H25" s="1">
        <v>18000</v>
      </c>
      <c r="I25" s="1">
        <f>_xlfn.XLOOKUP($C25,'Plaza SP Tar'!$C:$C,'Plaza SP Tar'!G:G)</f>
        <v>5464804.1378685972</v>
      </c>
      <c r="J25" s="1">
        <v>25000</v>
      </c>
      <c r="K25" s="1">
        <f>_xlfn.XLOOKUP($C25,'Plaza SP Tar'!$C:$C,'Plaza SP Tar'!H:H)</f>
        <v>5961604.5140384696</v>
      </c>
      <c r="L25" s="1">
        <v>30000</v>
      </c>
      <c r="M25" s="1">
        <f>_xlfn.XLOOKUP($C25,'Plaza SP Tar'!$C:$C,'Plaza SP Tar'!I:I)</f>
        <v>6458404.8902083421</v>
      </c>
      <c r="N25" s="1">
        <v>40000</v>
      </c>
      <c r="O25" s="1">
        <f>_xlfn.XLOOKUP($C25,'Plaza SP Tar'!$C:$C,'Plaza SP Tar'!J:J)</f>
        <v>6955205.2663782146</v>
      </c>
      <c r="P25" s="1">
        <v>45000</v>
      </c>
      <c r="Q25" s="1">
        <f>_xlfn.XLOOKUP($C25,'Plaza SP Tar'!$C:$C,'Plaza SP Tar'!K:K)</f>
        <v>7452005.6425480871</v>
      </c>
      <c r="R25">
        <v>50000</v>
      </c>
    </row>
    <row r="26" spans="1:18" x14ac:dyDescent="0.25">
      <c r="A26" t="s">
        <v>3</v>
      </c>
      <c r="B26" t="s">
        <v>20</v>
      </c>
      <c r="C26" t="s">
        <v>29</v>
      </c>
      <c r="D26" s="1">
        <v>8971985</v>
      </c>
      <c r="E26" s="1">
        <f>_xlfn.XLOOKUP($C26,'Plaza SP Tar'!$C:$C,'Plaza SP Tar'!E:E)</f>
        <v>9793208.7843191307</v>
      </c>
      <c r="F26" s="1">
        <v>10000</v>
      </c>
      <c r="G26" s="1">
        <f>_xlfn.XLOOKUP($C26,'Plaza SP Tar'!$C:$C,'Plaza SP Tar'!F:F)</f>
        <v>11192238.610650435</v>
      </c>
      <c r="H26" s="1">
        <v>18000</v>
      </c>
      <c r="I26" s="1">
        <f>_xlfn.XLOOKUP($C26,'Plaza SP Tar'!$C:$C,'Plaza SP Tar'!G:G)</f>
        <v>12311462.471715478</v>
      </c>
      <c r="J26" s="1">
        <v>25000</v>
      </c>
      <c r="K26" s="1">
        <f>_xlfn.XLOOKUP($C26,'Plaza SP Tar'!$C:$C,'Plaza SP Tar'!H:H)</f>
        <v>13430686.332780521</v>
      </c>
      <c r="L26" s="1">
        <v>30000</v>
      </c>
      <c r="M26" s="1">
        <f>_xlfn.XLOOKUP($C26,'Plaza SP Tar'!$C:$C,'Plaza SP Tar'!I:I)</f>
        <v>14549910.193845566</v>
      </c>
      <c r="N26" s="1">
        <v>40000</v>
      </c>
      <c r="O26" s="1">
        <f>_xlfn.XLOOKUP($C26,'Plaza SP Tar'!$C:$C,'Plaza SP Tar'!J:J)</f>
        <v>15669134.054910608</v>
      </c>
      <c r="P26" s="1">
        <v>45000</v>
      </c>
      <c r="Q26" s="1">
        <f>_xlfn.XLOOKUP($C26,'Plaza SP Tar'!$C:$C,'Plaza SP Tar'!K:K)</f>
        <v>16788357.915975653</v>
      </c>
      <c r="R26">
        <v>50000</v>
      </c>
    </row>
    <row r="27" spans="1:18" x14ac:dyDescent="0.25">
      <c r="A27" t="s">
        <v>3</v>
      </c>
      <c r="B27" t="s">
        <v>20</v>
      </c>
      <c r="C27" t="s">
        <v>30</v>
      </c>
      <c r="D27" s="1">
        <v>5062058</v>
      </c>
      <c r="E27" s="1">
        <f>_xlfn.XLOOKUP($C27,'Plaza SP Tar'!$C:$C,'Plaza SP Tar'!E:E)</f>
        <v>5525398.3229277506</v>
      </c>
      <c r="F27" s="1">
        <v>10000</v>
      </c>
      <c r="G27" s="1">
        <f>_xlfn.XLOOKUP($C27,'Plaza SP Tar'!$C:$C,'Plaza SP Tar'!F:F)</f>
        <v>6314740.9404888572</v>
      </c>
      <c r="H27" s="1">
        <v>18000</v>
      </c>
      <c r="I27" s="1">
        <f>_xlfn.XLOOKUP($C27,'Plaza SP Tar'!$C:$C,'Plaza SP Tar'!G:G)</f>
        <v>6946215.0345377419</v>
      </c>
      <c r="J27" s="1">
        <v>25000</v>
      </c>
      <c r="K27" s="1">
        <f>_xlfn.XLOOKUP($C27,'Plaza SP Tar'!$C:$C,'Plaza SP Tar'!H:H)</f>
        <v>7577689.1285866285</v>
      </c>
      <c r="L27" s="1">
        <v>30000</v>
      </c>
      <c r="M27" s="1">
        <f>_xlfn.XLOOKUP($C27,'Plaza SP Tar'!$C:$C,'Plaza SP Tar'!I:I)</f>
        <v>8209163.2226355141</v>
      </c>
      <c r="N27" s="1">
        <v>40000</v>
      </c>
      <c r="O27" s="1">
        <f>_xlfn.XLOOKUP($C27,'Plaza SP Tar'!$C:$C,'Plaza SP Tar'!J:J)</f>
        <v>8840637.3166843988</v>
      </c>
      <c r="P27" s="1">
        <v>45000</v>
      </c>
      <c r="Q27" s="1">
        <f>_xlfn.XLOOKUP($C27,'Plaza SP Tar'!$C:$C,'Plaza SP Tar'!K:K)</f>
        <v>9472111.4107332863</v>
      </c>
      <c r="R27">
        <v>50000</v>
      </c>
    </row>
    <row r="28" spans="1:18" x14ac:dyDescent="0.25">
      <c r="A28" t="s">
        <v>3</v>
      </c>
      <c r="B28" t="s">
        <v>20</v>
      </c>
      <c r="C28" t="s">
        <v>31</v>
      </c>
      <c r="D28" s="1">
        <v>3653796</v>
      </c>
      <c r="E28" s="1">
        <f>_xlfn.XLOOKUP($C28,'Plaza SP Tar'!$C:$C,'Plaza SP Tar'!E:E)</f>
        <v>3988235.2771778046</v>
      </c>
      <c r="F28" s="1">
        <v>10000</v>
      </c>
      <c r="G28" s="1">
        <f>_xlfn.XLOOKUP($C28,'Plaza SP Tar'!$C:$C,'Plaza SP Tar'!F:F)</f>
        <v>4557983.173917491</v>
      </c>
      <c r="H28" s="1">
        <v>18000</v>
      </c>
      <c r="I28" s="1">
        <f>_xlfn.XLOOKUP($C28,'Plaza SP Tar'!$C:$C,'Plaza SP Tar'!G:G)</f>
        <v>5013781.4913092395</v>
      </c>
      <c r="J28" s="1">
        <v>25000</v>
      </c>
      <c r="K28" s="1">
        <f>_xlfn.XLOOKUP($C28,'Plaza SP Tar'!$C:$C,'Plaza SP Tar'!H:H)</f>
        <v>5469579.8087009881</v>
      </c>
      <c r="L28" s="1">
        <v>30000</v>
      </c>
      <c r="M28" s="1">
        <f>_xlfn.XLOOKUP($C28,'Plaza SP Tar'!$C:$C,'Plaza SP Tar'!I:I)</f>
        <v>5925378.1260927375</v>
      </c>
      <c r="N28" s="1">
        <v>40000</v>
      </c>
      <c r="O28" s="1">
        <f>_xlfn.XLOOKUP($C28,'Plaza SP Tar'!$C:$C,'Plaza SP Tar'!J:J)</f>
        <v>6381176.4434844861</v>
      </c>
      <c r="P28" s="1">
        <v>45000</v>
      </c>
      <c r="Q28" s="1">
        <f>_xlfn.XLOOKUP($C28,'Plaza SP Tar'!$C:$C,'Plaza SP Tar'!K:K)</f>
        <v>6836974.7608762356</v>
      </c>
      <c r="R28">
        <v>50000</v>
      </c>
    </row>
    <row r="29" spans="1:18" x14ac:dyDescent="0.25">
      <c r="A29" t="s">
        <v>3</v>
      </c>
      <c r="B29" t="s">
        <v>20</v>
      </c>
      <c r="C29" t="s">
        <v>32</v>
      </c>
      <c r="D29" s="1">
        <v>3499480</v>
      </c>
      <c r="E29" s="1">
        <f>_xlfn.XLOOKUP($C29,'Plaza SP Tar'!$C:$C,'Plaza SP Tar'!E:E)</f>
        <v>3819794.4241490723</v>
      </c>
      <c r="F29" s="1">
        <v>10000</v>
      </c>
      <c r="G29" s="1">
        <f>_xlfn.XLOOKUP($C29,'Plaza SP Tar'!$C:$C,'Plaza SP Tar'!F:F)</f>
        <v>4365479.341884654</v>
      </c>
      <c r="H29" s="1">
        <v>18000</v>
      </c>
      <c r="I29" s="1">
        <f>_xlfn.XLOOKUP($C29,'Plaza SP Tar'!$C:$C,'Plaza SP Tar'!G:G)</f>
        <v>4802027.2760731187</v>
      </c>
      <c r="J29" s="1">
        <v>25000</v>
      </c>
      <c r="K29" s="1">
        <f>_xlfn.XLOOKUP($C29,'Plaza SP Tar'!$C:$C,'Plaza SP Tar'!H:H)</f>
        <v>5238575.2102615843</v>
      </c>
      <c r="L29" s="1">
        <v>30000</v>
      </c>
      <c r="M29" s="1">
        <f>_xlfn.XLOOKUP($C29,'Plaza SP Tar'!$C:$C,'Plaza SP Tar'!I:I)</f>
        <v>5675123.1444500498</v>
      </c>
      <c r="N29" s="1">
        <v>40000</v>
      </c>
      <c r="O29" s="1">
        <f>_xlfn.XLOOKUP($C29,'Plaza SP Tar'!$C:$C,'Plaza SP Tar'!J:J)</f>
        <v>6111671.0786385145</v>
      </c>
      <c r="P29" s="1">
        <v>45000</v>
      </c>
      <c r="Q29" s="1">
        <f>_xlfn.XLOOKUP($C29,'Plaza SP Tar'!$C:$C,'Plaza SP Tar'!K:K)</f>
        <v>6548219.0128269801</v>
      </c>
      <c r="R29">
        <v>50000</v>
      </c>
    </row>
    <row r="30" spans="1:18" x14ac:dyDescent="0.25">
      <c r="A30" t="s">
        <v>3</v>
      </c>
      <c r="B30" t="s">
        <v>20</v>
      </c>
      <c r="C30" t="s">
        <v>33</v>
      </c>
      <c r="D30" s="1">
        <v>6884635</v>
      </c>
      <c r="E30" s="1">
        <f>_xlfn.XLOOKUP($C30,'Plaza SP Tar'!$C:$C,'Plaza SP Tar'!E:E)</f>
        <v>7514799.4517189832</v>
      </c>
      <c r="F30" s="1">
        <v>10000</v>
      </c>
      <c r="G30" s="1">
        <f>_xlfn.XLOOKUP($C30,'Plaza SP Tar'!$C:$C,'Plaza SP Tar'!F:F)</f>
        <v>8588342.2305359803</v>
      </c>
      <c r="H30" s="1">
        <v>18000</v>
      </c>
      <c r="I30" s="1">
        <f>_xlfn.XLOOKUP($C30,'Plaza SP Tar'!$C:$C,'Plaza SP Tar'!G:G)</f>
        <v>9447176.4535895772</v>
      </c>
      <c r="J30" s="1">
        <v>25000</v>
      </c>
      <c r="K30" s="1">
        <f>_xlfn.XLOOKUP($C30,'Plaza SP Tar'!$C:$C,'Plaza SP Tar'!H:H)</f>
        <v>10306010.676643176</v>
      </c>
      <c r="L30" s="1">
        <v>30000</v>
      </c>
      <c r="M30" s="1">
        <f>_xlfn.XLOOKUP($C30,'Plaza SP Tar'!$C:$C,'Plaza SP Tar'!I:I)</f>
        <v>11164844.899696775</v>
      </c>
      <c r="N30" s="1">
        <v>40000</v>
      </c>
      <c r="O30" s="1">
        <f>_xlfn.XLOOKUP($C30,'Plaza SP Tar'!$C:$C,'Plaza SP Tar'!J:J)</f>
        <v>12023679.122750372</v>
      </c>
      <c r="P30" s="1">
        <v>45000</v>
      </c>
      <c r="Q30" s="1">
        <f>_xlfn.XLOOKUP($C30,'Plaza SP Tar'!$C:$C,'Plaza SP Tar'!K:K)</f>
        <v>12882513.34580397</v>
      </c>
      <c r="R30">
        <v>50000</v>
      </c>
    </row>
    <row r="31" spans="1:18" x14ac:dyDescent="0.25">
      <c r="A31" t="s">
        <v>3</v>
      </c>
      <c r="B31" t="s">
        <v>20</v>
      </c>
      <c r="C31" t="s">
        <v>34</v>
      </c>
      <c r="D31" s="1">
        <v>3688028</v>
      </c>
      <c r="E31" s="1">
        <f>_xlfn.XLOOKUP($C31,'Plaza SP Tar'!$C:$C,'Plaza SP Tar'!E:E)</f>
        <v>4025600.6008051638</v>
      </c>
      <c r="F31" s="1">
        <v>10000</v>
      </c>
      <c r="G31" s="1">
        <f>_xlfn.XLOOKUP($C31,'Plaza SP Tar'!$C:$C,'Plaza SP Tar'!F:F)</f>
        <v>4600686.4009201871</v>
      </c>
      <c r="H31" s="1">
        <v>18000</v>
      </c>
      <c r="I31" s="1">
        <f>_xlfn.XLOOKUP($C31,'Plaza SP Tar'!$C:$C,'Plaza SP Tar'!G:G)</f>
        <v>5060755.0410122052</v>
      </c>
      <c r="J31" s="1">
        <v>25000</v>
      </c>
      <c r="K31" s="1">
        <f>_xlfn.XLOOKUP($C31,'Plaza SP Tar'!$C:$C,'Plaza SP Tar'!H:H)</f>
        <v>5520823.6811042242</v>
      </c>
      <c r="L31" s="1">
        <v>30000</v>
      </c>
      <c r="M31" s="1">
        <f>_xlfn.XLOOKUP($C31,'Plaza SP Tar'!$C:$C,'Plaza SP Tar'!I:I)</f>
        <v>5980892.3211962432</v>
      </c>
      <c r="N31" s="1">
        <v>40000</v>
      </c>
      <c r="O31" s="1">
        <f>_xlfn.XLOOKUP($C31,'Plaza SP Tar'!$C:$C,'Plaza SP Tar'!J:J)</f>
        <v>6440960.9612882612</v>
      </c>
      <c r="P31" s="1">
        <v>45000</v>
      </c>
      <c r="Q31" s="1">
        <f>_xlfn.XLOOKUP($C31,'Plaza SP Tar'!$C:$C,'Plaza SP Tar'!K:K)</f>
        <v>6901029.6013802802</v>
      </c>
      <c r="R31">
        <v>50000</v>
      </c>
    </row>
    <row r="32" spans="1:18" x14ac:dyDescent="0.25">
      <c r="A32" t="s">
        <v>3</v>
      </c>
      <c r="B32" t="s">
        <v>20</v>
      </c>
      <c r="C32" t="s">
        <v>35</v>
      </c>
      <c r="D32" s="1">
        <v>6472460</v>
      </c>
      <c r="E32" s="1">
        <f>_xlfn.XLOOKUP($C32,'Plaza SP Tar'!$C:$C,'Plaza SP Tar'!E:E)</f>
        <v>7064897.2471704092</v>
      </c>
      <c r="F32" s="1">
        <v>10000</v>
      </c>
      <c r="G32" s="1">
        <f>_xlfn.XLOOKUP($C32,'Plaza SP Tar'!$C:$C,'Plaza SP Tar'!F:F)</f>
        <v>8074168.2824804671</v>
      </c>
      <c r="H32" s="1">
        <v>18000</v>
      </c>
      <c r="I32" s="1">
        <f>_xlfn.XLOOKUP($C32,'Plaza SP Tar'!$C:$C,'Plaza SP Tar'!G:G)</f>
        <v>8881585.1107285134</v>
      </c>
      <c r="J32" s="1">
        <v>25000</v>
      </c>
      <c r="K32" s="1">
        <f>_xlfn.XLOOKUP($C32,'Plaza SP Tar'!$C:$C,'Plaza SP Tar'!H:H)</f>
        <v>9689001.9389765598</v>
      </c>
      <c r="L32" s="1">
        <v>30000</v>
      </c>
      <c r="M32" s="1">
        <f>_xlfn.XLOOKUP($C32,'Plaza SP Tar'!$C:$C,'Plaza SP Tar'!I:I)</f>
        <v>10496418.767224608</v>
      </c>
      <c r="N32" s="1">
        <v>40000</v>
      </c>
      <c r="O32" s="1">
        <f>_xlfn.XLOOKUP($C32,'Plaza SP Tar'!$C:$C,'Plaza SP Tar'!J:J)</f>
        <v>11303835.595472652</v>
      </c>
      <c r="P32" s="1">
        <v>45000</v>
      </c>
      <c r="Q32" s="1">
        <f>_xlfn.XLOOKUP($C32,'Plaza SP Tar'!$C:$C,'Plaza SP Tar'!K:K)</f>
        <v>12111252.423720701</v>
      </c>
      <c r="R32">
        <v>50000</v>
      </c>
    </row>
    <row r="33" spans="1:18" x14ac:dyDescent="0.25">
      <c r="A33" t="s">
        <v>3</v>
      </c>
      <c r="B33" t="s">
        <v>36</v>
      </c>
      <c r="C33" t="s">
        <v>37</v>
      </c>
      <c r="D33" s="1">
        <v>2382916</v>
      </c>
      <c r="E33" s="1">
        <f>_xlfn.XLOOKUP($C33,'Plaza SP Tar'!$C:$C,'Plaza SP Tar'!E:E)</f>
        <v>2601029.0814679926</v>
      </c>
      <c r="F33" s="1">
        <v>10000</v>
      </c>
      <c r="G33" s="1">
        <f>_xlfn.XLOOKUP($C33,'Plaza SP Tar'!$C:$C,'Plaza SP Tar'!F:F)</f>
        <v>2972604.6645348486</v>
      </c>
      <c r="H33" s="1">
        <v>18000</v>
      </c>
      <c r="I33" s="1">
        <f>_xlfn.XLOOKUP($C33,'Plaza SP Tar'!$C:$C,'Plaza SP Tar'!G:G)</f>
        <v>3269865.1309883329</v>
      </c>
      <c r="J33" s="1">
        <v>25000</v>
      </c>
      <c r="K33" s="1">
        <f>_xlfn.XLOOKUP($C33,'Plaza SP Tar'!$C:$C,'Plaza SP Tar'!H:H)</f>
        <v>3567125.5974418181</v>
      </c>
      <c r="L33" s="1">
        <v>30000</v>
      </c>
      <c r="M33" s="1">
        <f>_xlfn.XLOOKUP($C33,'Plaza SP Tar'!$C:$C,'Plaza SP Tar'!I:I)</f>
        <v>3864386.0638953028</v>
      </c>
      <c r="N33" s="1">
        <v>40000</v>
      </c>
      <c r="O33" s="1">
        <f>_xlfn.XLOOKUP($C33,'Plaza SP Tar'!$C:$C,'Plaza SP Tar'!J:J)</f>
        <v>4161646.5303487875</v>
      </c>
      <c r="P33" s="1">
        <v>45000</v>
      </c>
      <c r="Q33" s="1">
        <f>_xlfn.XLOOKUP($C33,'Plaza SP Tar'!$C:$C,'Plaza SP Tar'!K:K)</f>
        <v>4458906.9968022723</v>
      </c>
      <c r="R33">
        <v>50000</v>
      </c>
    </row>
    <row r="34" spans="1:18" x14ac:dyDescent="0.25">
      <c r="A34" t="s">
        <v>3</v>
      </c>
      <c r="B34" t="s">
        <v>36</v>
      </c>
      <c r="C34" t="s">
        <v>38</v>
      </c>
      <c r="D34" s="1">
        <v>2309512</v>
      </c>
      <c r="E34" s="1">
        <f>_xlfn.XLOOKUP($C34,'Plaza SP Tar'!$C:$C,'Plaza SP Tar'!E:E)</f>
        <v>2520906.2661039275</v>
      </c>
      <c r="F34" s="1">
        <v>10000</v>
      </c>
      <c r="G34" s="1">
        <f>_xlfn.XLOOKUP($C34,'Plaza SP Tar'!$C:$C,'Plaza SP Tar'!F:F)</f>
        <v>2881035.7326902025</v>
      </c>
      <c r="H34" s="1">
        <v>18000</v>
      </c>
      <c r="I34" s="1">
        <f>_xlfn.XLOOKUP($C34,'Plaza SP Tar'!$C:$C,'Plaza SP Tar'!G:G)</f>
        <v>3169139.3059592224</v>
      </c>
      <c r="J34" s="1">
        <v>25000</v>
      </c>
      <c r="K34" s="1">
        <f>_xlfn.XLOOKUP($C34,'Plaza SP Tar'!$C:$C,'Plaza SP Tar'!H:H)</f>
        <v>3457242.8792282431</v>
      </c>
      <c r="L34" s="1">
        <v>30000</v>
      </c>
      <c r="M34" s="1">
        <f>_xlfn.XLOOKUP($C34,'Plaza SP Tar'!$C:$C,'Plaza SP Tar'!I:I)</f>
        <v>3745346.4524972634</v>
      </c>
      <c r="N34" s="1">
        <v>40000</v>
      </c>
      <c r="O34" s="1">
        <f>_xlfn.XLOOKUP($C34,'Plaza SP Tar'!$C:$C,'Plaza SP Tar'!J:J)</f>
        <v>4033450.0257662833</v>
      </c>
      <c r="P34" s="1">
        <v>45000</v>
      </c>
      <c r="Q34" s="1">
        <f>_xlfn.XLOOKUP($C34,'Plaza SP Tar'!$C:$C,'Plaza SP Tar'!K:K)</f>
        <v>4321553.599035304</v>
      </c>
      <c r="R34">
        <v>50000</v>
      </c>
    </row>
    <row r="35" spans="1:18" x14ac:dyDescent="0.25">
      <c r="A35" t="s">
        <v>3</v>
      </c>
      <c r="B35" t="s">
        <v>36</v>
      </c>
      <c r="C35" t="s">
        <v>39</v>
      </c>
      <c r="D35" s="1">
        <v>1764009</v>
      </c>
      <c r="E35" s="1">
        <f>_xlfn.XLOOKUP($C35,'Plaza SP Tar'!$C:$C,'Plaza SP Tar'!E:E)</f>
        <v>1925472.2822673027</v>
      </c>
      <c r="F35" s="1">
        <v>10000</v>
      </c>
      <c r="G35" s="1">
        <f>_xlfn.XLOOKUP($C35,'Plaza SP Tar'!$C:$C,'Plaza SP Tar'!F:F)</f>
        <v>2200539.7511626314</v>
      </c>
      <c r="H35" s="1">
        <v>18000</v>
      </c>
      <c r="I35" s="1">
        <f>_xlfn.XLOOKUP($C35,'Plaza SP Tar'!$C:$C,'Plaza SP Tar'!G:G)</f>
        <v>2420593.7262788946</v>
      </c>
      <c r="J35" s="1">
        <v>25000</v>
      </c>
      <c r="K35" s="1">
        <f>_xlfn.XLOOKUP($C35,'Plaza SP Tar'!$C:$C,'Plaza SP Tar'!H:H)</f>
        <v>2640647.7013951577</v>
      </c>
      <c r="L35" s="1">
        <v>30000</v>
      </c>
      <c r="M35" s="1">
        <f>_xlfn.XLOOKUP($C35,'Plaza SP Tar'!$C:$C,'Plaza SP Tar'!I:I)</f>
        <v>2860701.6765114209</v>
      </c>
      <c r="N35" s="1">
        <v>40000</v>
      </c>
      <c r="O35" s="1">
        <f>_xlfn.XLOOKUP($C35,'Plaza SP Tar'!$C:$C,'Plaza SP Tar'!J:J)</f>
        <v>3080755.651627684</v>
      </c>
      <c r="P35" s="1">
        <v>45000</v>
      </c>
      <c r="Q35" s="1">
        <f>_xlfn.XLOOKUP($C35,'Plaza SP Tar'!$C:$C,'Plaza SP Tar'!K:K)</f>
        <v>3300809.6267439472</v>
      </c>
      <c r="R35">
        <v>50000</v>
      </c>
    </row>
    <row r="36" spans="1:18" x14ac:dyDescent="0.25">
      <c r="A36" t="s">
        <v>3</v>
      </c>
      <c r="B36" t="s">
        <v>36</v>
      </c>
      <c r="C36" t="s">
        <v>40</v>
      </c>
      <c r="D36" s="1">
        <v>2223982</v>
      </c>
      <c r="E36" s="1">
        <f>_xlfn.XLOOKUP($C36,'Plaza SP Tar'!$C:$C,'Plaza SP Tar'!E:E)</f>
        <v>2427547.5336358263</v>
      </c>
      <c r="F36" s="1">
        <v>10000</v>
      </c>
      <c r="G36" s="1">
        <f>_xlfn.XLOOKUP($C36,'Plaza SP Tar'!$C:$C,'Plaza SP Tar'!F:F)</f>
        <v>2774340.0384409442</v>
      </c>
      <c r="H36" s="1">
        <v>18000</v>
      </c>
      <c r="I36" s="1">
        <f>_xlfn.XLOOKUP($C36,'Plaza SP Tar'!$C:$C,'Plaza SP Tar'!G:G)</f>
        <v>3051774.0422850386</v>
      </c>
      <c r="J36" s="1">
        <v>25000</v>
      </c>
      <c r="K36" s="1">
        <f>_xlfn.XLOOKUP($C36,'Plaza SP Tar'!$C:$C,'Plaza SP Tar'!H:H)</f>
        <v>3329208.0461291331</v>
      </c>
      <c r="L36" s="1">
        <v>30000</v>
      </c>
      <c r="M36" s="1">
        <f>_xlfn.XLOOKUP($C36,'Plaza SP Tar'!$C:$C,'Plaza SP Tar'!I:I)</f>
        <v>3606642.0499732275</v>
      </c>
      <c r="N36" s="1">
        <v>40000</v>
      </c>
      <c r="O36" s="1">
        <f>_xlfn.XLOOKUP($C36,'Plaza SP Tar'!$C:$C,'Plaza SP Tar'!J:J)</f>
        <v>3884076.0538173215</v>
      </c>
      <c r="P36" s="1">
        <v>45000</v>
      </c>
      <c r="Q36" s="1">
        <f>_xlfn.XLOOKUP($C36,'Plaza SP Tar'!$C:$C,'Plaza SP Tar'!K:K)</f>
        <v>4161510.0576614165</v>
      </c>
      <c r="R36">
        <v>50000</v>
      </c>
    </row>
    <row r="37" spans="1:18" x14ac:dyDescent="0.25">
      <c r="A37" t="s">
        <v>3</v>
      </c>
      <c r="B37" t="s">
        <v>36</v>
      </c>
      <c r="C37" t="s">
        <v>41</v>
      </c>
      <c r="D37" s="1">
        <v>2855133</v>
      </c>
      <c r="E37" s="1">
        <f>_xlfn.XLOOKUP($C37,'Plaza SP Tar'!$C:$C,'Plaza SP Tar'!E:E)</f>
        <v>3116469.0507172532</v>
      </c>
      <c r="F37" s="1">
        <v>10000</v>
      </c>
      <c r="G37" s="1">
        <f>_xlfn.XLOOKUP($C37,'Plaza SP Tar'!$C:$C,'Plaza SP Tar'!F:F)</f>
        <v>3561678.9151054318</v>
      </c>
      <c r="H37" s="1">
        <v>18000</v>
      </c>
      <c r="I37" s="1">
        <f>_xlfn.XLOOKUP($C37,'Plaza SP Tar'!$C:$C,'Plaza SP Tar'!G:G)</f>
        <v>3917846.8066159748</v>
      </c>
      <c r="J37" s="1">
        <v>25000</v>
      </c>
      <c r="K37" s="1">
        <f>_xlfn.XLOOKUP($C37,'Plaza SP Tar'!$C:$C,'Plaza SP Tar'!H:H)</f>
        <v>4274014.6981265182</v>
      </c>
      <c r="L37" s="1">
        <v>30000</v>
      </c>
      <c r="M37" s="1">
        <f>_xlfn.XLOOKUP($C37,'Plaza SP Tar'!$C:$C,'Plaza SP Tar'!I:I)</f>
        <v>4630182.5896370616</v>
      </c>
      <c r="N37" s="1">
        <v>40000</v>
      </c>
      <c r="O37" s="1">
        <f>_xlfn.XLOOKUP($C37,'Plaza SP Tar'!$C:$C,'Plaza SP Tar'!J:J)</f>
        <v>4986350.4811476041</v>
      </c>
      <c r="P37" s="1">
        <v>45000</v>
      </c>
      <c r="Q37" s="1">
        <f>_xlfn.XLOOKUP($C37,'Plaza SP Tar'!$C:$C,'Plaza SP Tar'!K:K)</f>
        <v>5342518.3726581475</v>
      </c>
      <c r="R37">
        <v>50000</v>
      </c>
    </row>
    <row r="38" spans="1:18" x14ac:dyDescent="0.25">
      <c r="A38" t="s">
        <v>3</v>
      </c>
      <c r="B38" t="s">
        <v>36</v>
      </c>
      <c r="C38" t="s">
        <v>42</v>
      </c>
      <c r="D38" s="1">
        <v>15063515</v>
      </c>
      <c r="E38" s="1">
        <f>_xlfn.XLOOKUP($C38,'Plaza SP Tar'!$C:$C,'Plaza SP Tar'!E:E)</f>
        <v>16442308.74446658</v>
      </c>
      <c r="F38" s="1">
        <v>10000</v>
      </c>
      <c r="G38" s="1">
        <f>_xlfn.XLOOKUP($C38,'Plaza SP Tar'!$C:$C,'Plaza SP Tar'!F:F)</f>
        <v>18791209.993676092</v>
      </c>
      <c r="H38" s="1">
        <v>18000</v>
      </c>
      <c r="I38" s="1">
        <f>_xlfn.XLOOKUP($C38,'Plaza SP Tar'!$C:$C,'Plaza SP Tar'!G:G)</f>
        <v>20670330.993043698</v>
      </c>
      <c r="J38" s="1">
        <v>25000</v>
      </c>
      <c r="K38" s="1">
        <f>_xlfn.XLOOKUP($C38,'Plaza SP Tar'!$C:$C,'Plaza SP Tar'!H:H)</f>
        <v>22549451.992411308</v>
      </c>
      <c r="L38" s="1">
        <v>30000</v>
      </c>
      <c r="M38" s="1">
        <f>_xlfn.XLOOKUP($C38,'Plaza SP Tar'!$C:$C,'Plaza SP Tar'!I:I)</f>
        <v>24428572.991778918</v>
      </c>
      <c r="N38" s="1">
        <v>40000</v>
      </c>
      <c r="O38" s="1">
        <f>_xlfn.XLOOKUP($C38,'Plaza SP Tar'!$C:$C,'Plaza SP Tar'!J:J)</f>
        <v>26307693.991146527</v>
      </c>
      <c r="P38" s="1">
        <v>45000</v>
      </c>
      <c r="Q38" s="1">
        <f>_xlfn.XLOOKUP($C38,'Plaza SP Tar'!$C:$C,'Plaza SP Tar'!K:K)</f>
        <v>28186814.990514137</v>
      </c>
      <c r="R38">
        <v>50000</v>
      </c>
    </row>
    <row r="39" spans="1:18" x14ac:dyDescent="0.25">
      <c r="A39" t="s">
        <v>3</v>
      </c>
      <c r="B39" t="s">
        <v>36</v>
      </c>
      <c r="C39" t="s">
        <v>43</v>
      </c>
      <c r="D39" s="1">
        <v>2931853</v>
      </c>
      <c r="E39" s="1">
        <f>_xlfn.XLOOKUP($C39,'Plaza SP Tar'!$C:$C,'Plaza SP Tar'!E:E)</f>
        <v>3200211.3862130172</v>
      </c>
      <c r="F39" s="1">
        <v>10000</v>
      </c>
      <c r="G39" s="1">
        <f>_xlfn.XLOOKUP($C39,'Plaza SP Tar'!$C:$C,'Plaza SP Tar'!F:F)</f>
        <v>3657384.4413863053</v>
      </c>
      <c r="H39" s="1">
        <v>18000</v>
      </c>
      <c r="I39" s="1">
        <f>_xlfn.XLOOKUP($C39,'Plaza SP Tar'!$C:$C,'Plaza SP Tar'!G:G)</f>
        <v>4023122.8855249356</v>
      </c>
      <c r="J39" s="1">
        <v>25000</v>
      </c>
      <c r="K39" s="1">
        <f>_xlfn.XLOOKUP($C39,'Plaza SP Tar'!$C:$C,'Plaza SP Tar'!H:H)</f>
        <v>4388861.3296635663</v>
      </c>
      <c r="L39" s="1">
        <v>30000</v>
      </c>
      <c r="M39" s="1">
        <f>_xlfn.XLOOKUP($C39,'Plaza SP Tar'!$C:$C,'Plaza SP Tar'!I:I)</f>
        <v>4754599.7738021966</v>
      </c>
      <c r="N39" s="1">
        <v>40000</v>
      </c>
      <c r="O39" s="1">
        <f>_xlfn.XLOOKUP($C39,'Plaza SP Tar'!$C:$C,'Plaza SP Tar'!J:J)</f>
        <v>5120338.2179408269</v>
      </c>
      <c r="P39" s="1">
        <v>45000</v>
      </c>
      <c r="Q39" s="1">
        <f>_xlfn.XLOOKUP($C39,'Plaza SP Tar'!$C:$C,'Plaza SP Tar'!K:K)</f>
        <v>5486076.6620794581</v>
      </c>
      <c r="R39">
        <v>50000</v>
      </c>
    </row>
    <row r="40" spans="1:18" x14ac:dyDescent="0.25">
      <c r="A40" t="s">
        <v>3</v>
      </c>
      <c r="B40" t="s">
        <v>36</v>
      </c>
      <c r="C40" t="s">
        <v>44</v>
      </c>
      <c r="D40" s="1">
        <v>1764009</v>
      </c>
      <c r="E40" s="1">
        <f>_xlfn.XLOOKUP($C40,'Plaza SP Tar'!$C:$C,'Plaza SP Tar'!E:E)</f>
        <v>1925472.2822673027</v>
      </c>
      <c r="F40" s="1">
        <v>10000</v>
      </c>
      <c r="G40" s="1">
        <f>_xlfn.XLOOKUP($C40,'Plaza SP Tar'!$C:$C,'Plaza SP Tar'!F:F)</f>
        <v>2200539.7511626314</v>
      </c>
      <c r="H40" s="1">
        <v>18000</v>
      </c>
      <c r="I40" s="1">
        <f>_xlfn.XLOOKUP($C40,'Plaza SP Tar'!$C:$C,'Plaza SP Tar'!G:G)</f>
        <v>2420593.7262788946</v>
      </c>
      <c r="J40" s="1">
        <v>25000</v>
      </c>
      <c r="K40" s="1">
        <f>_xlfn.XLOOKUP($C40,'Plaza SP Tar'!$C:$C,'Plaza SP Tar'!H:H)</f>
        <v>2640647.7013951577</v>
      </c>
      <c r="L40" s="1">
        <v>30000</v>
      </c>
      <c r="M40" s="1">
        <f>_xlfn.XLOOKUP($C40,'Plaza SP Tar'!$C:$C,'Plaza SP Tar'!I:I)</f>
        <v>2860701.6765114209</v>
      </c>
      <c r="N40" s="1">
        <v>40000</v>
      </c>
      <c r="O40" s="1">
        <f>_xlfn.XLOOKUP($C40,'Plaza SP Tar'!$C:$C,'Plaza SP Tar'!J:J)</f>
        <v>3080755.651627684</v>
      </c>
      <c r="P40" s="1">
        <v>45000</v>
      </c>
      <c r="Q40" s="1">
        <f>_xlfn.XLOOKUP($C40,'Plaza SP Tar'!$C:$C,'Plaza SP Tar'!K:K)</f>
        <v>3300809.6267439472</v>
      </c>
      <c r="R40">
        <v>50000</v>
      </c>
    </row>
    <row r="41" spans="1:18" x14ac:dyDescent="0.25">
      <c r="A41" t="s">
        <v>3</v>
      </c>
      <c r="B41" t="s">
        <v>36</v>
      </c>
      <c r="C41" t="s">
        <v>45</v>
      </c>
      <c r="D41" s="1">
        <v>2576918</v>
      </c>
      <c r="E41" s="1">
        <f>_xlfn.XLOOKUP($C41,'Plaza SP Tar'!$C:$C,'Plaza SP Tar'!E:E)</f>
        <v>2812788.4736844841</v>
      </c>
      <c r="F41" s="1">
        <v>10000</v>
      </c>
      <c r="G41" s="1">
        <f>_xlfn.XLOOKUP($C41,'Plaza SP Tar'!$C:$C,'Plaza SP Tar'!F:F)</f>
        <v>3214615.3984965533</v>
      </c>
      <c r="H41" s="1">
        <v>18000</v>
      </c>
      <c r="I41" s="1">
        <f>_xlfn.XLOOKUP($C41,'Plaza SP Tar'!$C:$C,'Plaza SP Tar'!G:G)</f>
        <v>3536076.9383462081</v>
      </c>
      <c r="J41" s="1">
        <v>25000</v>
      </c>
      <c r="K41" s="1">
        <f>_xlfn.XLOOKUP($C41,'Plaza SP Tar'!$C:$C,'Plaza SP Tar'!H:H)</f>
        <v>3857538.4781958638</v>
      </c>
      <c r="L41" s="1">
        <v>30000</v>
      </c>
      <c r="M41" s="1">
        <f>_xlfn.XLOOKUP($C41,'Plaza SP Tar'!$C:$C,'Plaza SP Tar'!I:I)</f>
        <v>4179000.018045519</v>
      </c>
      <c r="N41" s="1">
        <v>40000</v>
      </c>
      <c r="O41" s="1">
        <f>_xlfn.XLOOKUP($C41,'Plaza SP Tar'!$C:$C,'Plaza SP Tar'!J:J)</f>
        <v>4500461.5578951743</v>
      </c>
      <c r="P41" s="1">
        <v>45000</v>
      </c>
      <c r="Q41" s="1">
        <f>_xlfn.XLOOKUP($C41,'Plaza SP Tar'!$C:$C,'Plaza SP Tar'!K:K)</f>
        <v>4821923.09774483</v>
      </c>
      <c r="R41">
        <v>50000</v>
      </c>
    </row>
    <row r="42" spans="1:18" x14ac:dyDescent="0.25">
      <c r="A42" t="s">
        <v>3</v>
      </c>
      <c r="B42" t="s">
        <v>36</v>
      </c>
      <c r="C42" t="s">
        <v>46</v>
      </c>
      <c r="D42" s="1">
        <v>2825622</v>
      </c>
      <c r="E42" s="1">
        <f>_xlfn.XLOOKUP($C42,'Plaza SP Tar'!$C:$C,'Plaza SP Tar'!E:E)</f>
        <v>3084256.8496899395</v>
      </c>
      <c r="F42" s="1">
        <v>10000</v>
      </c>
      <c r="G42" s="1">
        <f>_xlfn.XLOOKUP($C42,'Plaza SP Tar'!$C:$C,'Plaza SP Tar'!F:F)</f>
        <v>3524864.9710742165</v>
      </c>
      <c r="H42" s="1">
        <v>18000</v>
      </c>
      <c r="I42" s="1">
        <f>_xlfn.XLOOKUP($C42,'Plaza SP Tar'!$C:$C,'Plaza SP Tar'!G:G)</f>
        <v>3877351.4681816376</v>
      </c>
      <c r="J42" s="1">
        <v>25000</v>
      </c>
      <c r="K42" s="1">
        <f>_xlfn.XLOOKUP($C42,'Plaza SP Tar'!$C:$C,'Plaza SP Tar'!H:H)</f>
        <v>4229837.9652890591</v>
      </c>
      <c r="L42" s="1">
        <v>30000</v>
      </c>
      <c r="M42" s="1">
        <f>_xlfn.XLOOKUP($C42,'Plaza SP Tar'!$C:$C,'Plaza SP Tar'!I:I)</f>
        <v>4582324.4623964811</v>
      </c>
      <c r="N42" s="1">
        <v>40000</v>
      </c>
      <c r="O42" s="1">
        <f>_xlfn.XLOOKUP($C42,'Plaza SP Tar'!$C:$C,'Plaza SP Tar'!J:J)</f>
        <v>4934810.9595039021</v>
      </c>
      <c r="P42" s="1">
        <v>45000</v>
      </c>
      <c r="Q42" s="1">
        <f>_xlfn.XLOOKUP($C42,'Plaza SP Tar'!$C:$C,'Plaza SP Tar'!K:K)</f>
        <v>5287297.4566113241</v>
      </c>
      <c r="R42">
        <v>50000</v>
      </c>
    </row>
    <row r="43" spans="1:18" x14ac:dyDescent="0.25">
      <c r="A43" t="s">
        <v>3</v>
      </c>
      <c r="B43" t="s">
        <v>36</v>
      </c>
      <c r="C43" t="s">
        <v>47</v>
      </c>
      <c r="D43" s="1">
        <v>8083227</v>
      </c>
      <c r="E43" s="1">
        <f>_xlfn.XLOOKUP($C43,'Plaza SP Tar'!$C:$C,'Plaza SP Tar'!E:E)</f>
        <v>8823100.9817833602</v>
      </c>
      <c r="F43" s="1">
        <v>10000</v>
      </c>
      <c r="G43" s="1">
        <f>_xlfn.XLOOKUP($C43,'Plaza SP Tar'!$C:$C,'Plaza SP Tar'!F:F)</f>
        <v>10083543.979180982</v>
      </c>
      <c r="H43" s="1">
        <v>18000</v>
      </c>
      <c r="I43" s="1">
        <f>_xlfn.XLOOKUP($C43,'Plaza SP Tar'!$C:$C,'Plaza SP Tar'!G:G)</f>
        <v>11091898.37709908</v>
      </c>
      <c r="J43" s="1">
        <v>25000</v>
      </c>
      <c r="K43" s="1">
        <f>_xlfn.XLOOKUP($C43,'Plaza SP Tar'!$C:$C,'Plaza SP Tar'!H:H)</f>
        <v>12100252.775017178</v>
      </c>
      <c r="L43" s="1">
        <v>30000</v>
      </c>
      <c r="M43" s="1">
        <f>_xlfn.XLOOKUP($C43,'Plaza SP Tar'!$C:$C,'Plaza SP Tar'!I:I)</f>
        <v>13108607.172935277</v>
      </c>
      <c r="N43" s="1">
        <v>40000</v>
      </c>
      <c r="O43" s="1">
        <f>_xlfn.XLOOKUP($C43,'Plaza SP Tar'!$C:$C,'Plaza SP Tar'!J:J)</f>
        <v>14116961.570853373</v>
      </c>
      <c r="P43" s="1">
        <v>45000</v>
      </c>
      <c r="Q43" s="1">
        <f>_xlfn.XLOOKUP($C43,'Plaza SP Tar'!$C:$C,'Plaza SP Tar'!K:K)</f>
        <v>15125315.968771473</v>
      </c>
      <c r="R43">
        <v>50000</v>
      </c>
    </row>
    <row r="44" spans="1:18" x14ac:dyDescent="0.25">
      <c r="A44" t="s">
        <v>3</v>
      </c>
      <c r="B44" t="s">
        <v>36</v>
      </c>
      <c r="C44" t="s">
        <v>48</v>
      </c>
      <c r="D44" s="1">
        <v>5068462</v>
      </c>
      <c r="E44" s="1">
        <f>_xlfn.XLOOKUP($C44,'Plaza SP Tar'!$C:$C,'Plaza SP Tar'!E:E)</f>
        <v>5532388.4938937938</v>
      </c>
      <c r="F44" s="1">
        <v>10000</v>
      </c>
      <c r="G44" s="1">
        <f>_xlfn.XLOOKUP($C44,'Plaza SP Tar'!$C:$C,'Plaza SP Tar'!F:F)</f>
        <v>6322729.7073071934</v>
      </c>
      <c r="H44" s="1">
        <v>18000</v>
      </c>
      <c r="I44" s="1">
        <f>_xlfn.XLOOKUP($C44,'Plaza SP Tar'!$C:$C,'Plaza SP Tar'!G:G)</f>
        <v>6955002.6780379117</v>
      </c>
      <c r="J44" s="1">
        <v>25000</v>
      </c>
      <c r="K44" s="1">
        <f>_xlfn.XLOOKUP($C44,'Plaza SP Tar'!$C:$C,'Plaza SP Tar'!H:H)</f>
        <v>7587275.6487686308</v>
      </c>
      <c r="L44" s="1">
        <v>30000</v>
      </c>
      <c r="M44" s="1">
        <f>_xlfn.XLOOKUP($C44,'Plaza SP Tar'!$C:$C,'Plaza SP Tar'!I:I)</f>
        <v>8219548.6194993509</v>
      </c>
      <c r="N44" s="1">
        <v>40000</v>
      </c>
      <c r="O44" s="1">
        <f>_xlfn.XLOOKUP($C44,'Plaza SP Tar'!$C:$C,'Plaza SP Tar'!J:J)</f>
        <v>8851821.5902300701</v>
      </c>
      <c r="P44" s="1">
        <v>45000</v>
      </c>
      <c r="Q44" s="1">
        <f>_xlfn.XLOOKUP($C44,'Plaza SP Tar'!$C:$C,'Plaza SP Tar'!K:K)</f>
        <v>9484094.5609607883</v>
      </c>
      <c r="R44">
        <v>50000</v>
      </c>
    </row>
    <row r="45" spans="1:18" x14ac:dyDescent="0.25">
      <c r="A45" t="s">
        <v>3</v>
      </c>
      <c r="B45" t="s">
        <v>36</v>
      </c>
      <c r="C45" t="s">
        <v>49</v>
      </c>
      <c r="D45" s="1">
        <v>3630226</v>
      </c>
      <c r="E45" s="1">
        <f>_xlfn.XLOOKUP($C45,'Plaza SP Tar'!$C:$C,'Plaza SP Tar'!E:E)</f>
        <v>3962507.867797784</v>
      </c>
      <c r="F45" s="1">
        <v>10000</v>
      </c>
      <c r="G45" s="1">
        <f>_xlfn.XLOOKUP($C45,'Plaza SP Tar'!$C:$C,'Plaza SP Tar'!F:F)</f>
        <v>4528580.4203403248</v>
      </c>
      <c r="H45" s="1">
        <v>18000</v>
      </c>
      <c r="I45" s="1">
        <f>_xlfn.XLOOKUP($C45,'Plaza SP Tar'!$C:$C,'Plaza SP Tar'!G:G)</f>
        <v>4981438.4623743566</v>
      </c>
      <c r="J45" s="1">
        <v>25000</v>
      </c>
      <c r="K45" s="1">
        <f>_xlfn.XLOOKUP($C45,'Plaza SP Tar'!$C:$C,'Plaza SP Tar'!H:H)</f>
        <v>5434296.5044083893</v>
      </c>
      <c r="L45" s="1">
        <v>30000</v>
      </c>
      <c r="M45" s="1">
        <f>_xlfn.XLOOKUP($C45,'Plaza SP Tar'!$C:$C,'Plaza SP Tar'!I:I)</f>
        <v>5887154.5464424221</v>
      </c>
      <c r="N45" s="1">
        <v>40000</v>
      </c>
      <c r="O45" s="1">
        <f>_xlfn.XLOOKUP($C45,'Plaza SP Tar'!$C:$C,'Plaza SP Tar'!J:J)</f>
        <v>6340012.5884764539</v>
      </c>
      <c r="P45" s="1">
        <v>45000</v>
      </c>
      <c r="Q45" s="1">
        <f>_xlfn.XLOOKUP($C45,'Plaza SP Tar'!$C:$C,'Plaza SP Tar'!K:K)</f>
        <v>6792870.6305104867</v>
      </c>
      <c r="R45">
        <v>50000</v>
      </c>
    </row>
    <row r="46" spans="1:18" x14ac:dyDescent="0.25">
      <c r="A46" t="s">
        <v>3</v>
      </c>
      <c r="B46" t="s">
        <v>36</v>
      </c>
      <c r="C46" t="s">
        <v>50</v>
      </c>
      <c r="D46" s="1">
        <v>7726021</v>
      </c>
      <c r="E46" s="1">
        <f>_xlfn.XLOOKUP($C46,'Plaza SP Tar'!$C:$C,'Plaza SP Tar'!E:E)</f>
        <v>8433199.2000693362</v>
      </c>
      <c r="F46" s="1">
        <v>10000</v>
      </c>
      <c r="G46" s="1">
        <f>_xlfn.XLOOKUP($C46,'Plaza SP Tar'!$C:$C,'Plaza SP Tar'!F:F)</f>
        <v>9637941.9429363832</v>
      </c>
      <c r="H46" s="1">
        <v>18000</v>
      </c>
      <c r="I46" s="1">
        <f>_xlfn.XLOOKUP($C46,'Plaza SP Tar'!$C:$C,'Plaza SP Tar'!G:G)</f>
        <v>10601736.13723002</v>
      </c>
      <c r="J46" s="1">
        <v>25000</v>
      </c>
      <c r="K46" s="1">
        <f>_xlfn.XLOOKUP($C46,'Plaza SP Tar'!$C:$C,'Plaza SP Tar'!H:H)</f>
        <v>11565530.331523659</v>
      </c>
      <c r="L46" s="1">
        <v>30000</v>
      </c>
      <c r="M46" s="1">
        <f>_xlfn.XLOOKUP($C46,'Plaza SP Tar'!$C:$C,'Plaza SP Tar'!I:I)</f>
        <v>12529324.525817297</v>
      </c>
      <c r="N46" s="1">
        <v>40000</v>
      </c>
      <c r="O46" s="1">
        <f>_xlfn.XLOOKUP($C46,'Plaza SP Tar'!$C:$C,'Plaza SP Tar'!J:J)</f>
        <v>13493118.720110936</v>
      </c>
      <c r="P46" s="1">
        <v>45000</v>
      </c>
      <c r="Q46" s="1">
        <f>_xlfn.XLOOKUP($C46,'Plaza SP Tar'!$C:$C,'Plaza SP Tar'!K:K)</f>
        <v>14456912.914404575</v>
      </c>
      <c r="R46">
        <v>50000</v>
      </c>
    </row>
    <row r="47" spans="1:18" x14ac:dyDescent="0.25">
      <c r="A47" t="s">
        <v>3</v>
      </c>
      <c r="B47" t="s">
        <v>36</v>
      </c>
      <c r="C47" t="s">
        <v>51</v>
      </c>
      <c r="D47" s="1">
        <v>10112745</v>
      </c>
      <c r="E47" s="1">
        <f>_xlfn.XLOOKUP($C47,'Plaza SP Tar'!$C:$C,'Plaza SP Tar'!E:E)</f>
        <v>11038384.83541595</v>
      </c>
      <c r="F47" s="1">
        <v>10000</v>
      </c>
      <c r="G47" s="1">
        <f>_xlfn.XLOOKUP($C47,'Plaza SP Tar'!$C:$C,'Plaza SP Tar'!F:F)</f>
        <v>12615296.954761086</v>
      </c>
      <c r="H47" s="1">
        <v>18000</v>
      </c>
      <c r="I47" s="1">
        <f>_xlfn.XLOOKUP($C47,'Plaza SP Tar'!$C:$C,'Plaza SP Tar'!G:G)</f>
        <v>13876826.650237191</v>
      </c>
      <c r="J47" s="1">
        <v>25000</v>
      </c>
      <c r="K47" s="1">
        <f>_xlfn.XLOOKUP($C47,'Plaza SP Tar'!$C:$C,'Plaza SP Tar'!H:H)</f>
        <v>15138356.345713301</v>
      </c>
      <c r="L47" s="1">
        <v>30000</v>
      </c>
      <c r="M47" s="1">
        <f>_xlfn.XLOOKUP($C47,'Plaza SP Tar'!$C:$C,'Plaza SP Tar'!I:I)</f>
        <v>16399886.04118941</v>
      </c>
      <c r="N47" s="1">
        <v>40000</v>
      </c>
      <c r="O47" s="1">
        <f>_xlfn.XLOOKUP($C47,'Plaza SP Tar'!$C:$C,'Plaza SP Tar'!J:J)</f>
        <v>17661415.736665517</v>
      </c>
      <c r="P47" s="1">
        <v>45000</v>
      </c>
      <c r="Q47" s="1">
        <f>_xlfn.XLOOKUP($C47,'Plaza SP Tar'!$C:$C,'Plaza SP Tar'!K:K)</f>
        <v>18922945.432141628</v>
      </c>
      <c r="R47">
        <v>50000</v>
      </c>
    </row>
    <row r="48" spans="1:18" x14ac:dyDescent="0.25">
      <c r="A48" t="s">
        <v>3</v>
      </c>
      <c r="B48" t="s">
        <v>36</v>
      </c>
      <c r="C48" t="s">
        <v>52</v>
      </c>
      <c r="D48" s="1">
        <v>2713763</v>
      </c>
      <c r="E48" s="1">
        <f>_xlfn.XLOOKUP($C48,'Plaza SP Tar'!$C:$C,'Plaza SP Tar'!E:E)</f>
        <v>2962159.1710374281</v>
      </c>
      <c r="F48" s="1">
        <v>10000</v>
      </c>
      <c r="G48" s="1">
        <f>_xlfn.XLOOKUP($C48,'Plaza SP Tar'!$C:$C,'Plaza SP Tar'!F:F)</f>
        <v>3385324.7668999177</v>
      </c>
      <c r="H48" s="1">
        <v>18000</v>
      </c>
      <c r="I48" s="1">
        <f>_xlfn.XLOOKUP($C48,'Plaza SP Tar'!$C:$C,'Plaza SP Tar'!G:G)</f>
        <v>3723857.2435899088</v>
      </c>
      <c r="J48" s="1">
        <v>25000</v>
      </c>
      <c r="K48" s="1">
        <f>_xlfn.XLOOKUP($C48,'Plaza SP Tar'!$C:$C,'Plaza SP Tar'!H:H)</f>
        <v>4062389.7202799008</v>
      </c>
      <c r="L48" s="1">
        <v>30000</v>
      </c>
      <c r="M48" s="1">
        <f>_xlfn.XLOOKUP($C48,'Plaza SP Tar'!$C:$C,'Plaza SP Tar'!I:I)</f>
        <v>4400922.1969698928</v>
      </c>
      <c r="N48" s="1">
        <v>40000</v>
      </c>
      <c r="O48" s="1">
        <f>_xlfn.XLOOKUP($C48,'Plaza SP Tar'!$C:$C,'Plaza SP Tar'!J:J)</f>
        <v>4739454.6736598844</v>
      </c>
      <c r="P48" s="1">
        <v>45000</v>
      </c>
      <c r="Q48" s="1">
        <f>_xlfn.XLOOKUP($C48,'Plaza SP Tar'!$C:$C,'Plaza SP Tar'!K:K)</f>
        <v>5077987.1503498759</v>
      </c>
      <c r="R48">
        <v>50000</v>
      </c>
    </row>
    <row r="49" spans="1:18" x14ac:dyDescent="0.25">
      <c r="A49" t="s">
        <v>3</v>
      </c>
      <c r="B49" t="s">
        <v>53</v>
      </c>
      <c r="C49" t="s">
        <v>54</v>
      </c>
      <c r="D49" s="1">
        <v>7956481</v>
      </c>
      <c r="E49" s="1">
        <f>_xlfn.XLOOKUP($C49,'Plaza SP Tar'!$C:$C,'Plaza SP Tar'!E:E)</f>
        <v>8684753.6661584098</v>
      </c>
      <c r="F49" s="1">
        <v>10000</v>
      </c>
      <c r="G49" s="1">
        <f>_xlfn.XLOOKUP($C49,'Plaza SP Tar'!$C:$C,'Plaza SP Tar'!F:F)</f>
        <v>9925432.7613238972</v>
      </c>
      <c r="H49" s="1">
        <v>18000</v>
      </c>
      <c r="I49" s="1">
        <f>_xlfn.XLOOKUP($C49,'Plaza SP Tar'!$C:$C,'Plaza SP Tar'!G:G)</f>
        <v>10917976.037456285</v>
      </c>
      <c r="J49" s="1">
        <v>25000</v>
      </c>
      <c r="K49" s="1">
        <f>_xlfn.XLOOKUP($C49,'Plaza SP Tar'!$C:$C,'Plaza SP Tar'!H:H)</f>
        <v>11910519.313588675</v>
      </c>
      <c r="L49" s="1">
        <v>30000</v>
      </c>
      <c r="M49" s="1">
        <f>_xlfn.XLOOKUP($C49,'Plaza SP Tar'!$C:$C,'Plaza SP Tar'!I:I)</f>
        <v>12903062.589721067</v>
      </c>
      <c r="N49" s="1">
        <v>40000</v>
      </c>
      <c r="O49" s="1">
        <f>_xlfn.XLOOKUP($C49,'Plaza SP Tar'!$C:$C,'Plaza SP Tar'!J:J)</f>
        <v>13895605.865853455</v>
      </c>
      <c r="P49" s="1">
        <v>45000</v>
      </c>
      <c r="Q49" s="1">
        <f>_xlfn.XLOOKUP($C49,'Plaza SP Tar'!$C:$C,'Plaza SP Tar'!K:K)</f>
        <v>14888149.141985845</v>
      </c>
      <c r="R49">
        <v>50000</v>
      </c>
    </row>
    <row r="50" spans="1:18" x14ac:dyDescent="0.25">
      <c r="A50" t="s">
        <v>3</v>
      </c>
      <c r="B50" t="s">
        <v>53</v>
      </c>
      <c r="C50" t="s">
        <v>55</v>
      </c>
      <c r="D50" s="1">
        <v>6352231</v>
      </c>
      <c r="E50" s="1">
        <f>_xlfn.XLOOKUP($C50,'Plaza SP Tar'!$C:$C,'Plaza SP Tar'!E:E)</f>
        <v>6933663.4456281746</v>
      </c>
      <c r="F50" s="1">
        <v>10000</v>
      </c>
      <c r="G50" s="1">
        <f>_xlfn.XLOOKUP($C50,'Plaza SP Tar'!$C:$C,'Plaza SP Tar'!F:F)</f>
        <v>7924186.7950036284</v>
      </c>
      <c r="H50" s="1">
        <v>18000</v>
      </c>
      <c r="I50" s="1">
        <f>_xlfn.XLOOKUP($C50,'Plaza SP Tar'!$C:$C,'Plaza SP Tar'!G:G)</f>
        <v>8716605.4745039903</v>
      </c>
      <c r="J50" s="1">
        <v>25000</v>
      </c>
      <c r="K50" s="1">
        <f>_xlfn.XLOOKUP($C50,'Plaza SP Tar'!$C:$C,'Plaza SP Tar'!H:H)</f>
        <v>9509024.1540043522</v>
      </c>
      <c r="L50" s="1">
        <v>30000</v>
      </c>
      <c r="M50" s="1">
        <f>_xlfn.XLOOKUP($C50,'Plaza SP Tar'!$C:$C,'Plaza SP Tar'!I:I)</f>
        <v>10301442.833504716</v>
      </c>
      <c r="N50" s="1">
        <v>40000</v>
      </c>
      <c r="O50" s="1">
        <f>_xlfn.XLOOKUP($C50,'Plaza SP Tar'!$C:$C,'Plaza SP Tar'!J:J)</f>
        <v>11093861.513005078</v>
      </c>
      <c r="P50" s="1">
        <v>45000</v>
      </c>
      <c r="Q50" s="1">
        <f>_xlfn.XLOOKUP($C50,'Plaza SP Tar'!$C:$C,'Plaza SP Tar'!K:K)</f>
        <v>11886280.192505442</v>
      </c>
      <c r="R50">
        <v>50000</v>
      </c>
    </row>
    <row r="51" spans="1:18" x14ac:dyDescent="0.25">
      <c r="A51" t="s">
        <v>3</v>
      </c>
      <c r="B51" t="s">
        <v>53</v>
      </c>
      <c r="C51" t="s">
        <v>56</v>
      </c>
      <c r="D51" s="1">
        <v>5095577</v>
      </c>
      <c r="E51" s="1">
        <f>_xlfn.XLOOKUP($C51,'Plaza SP Tar'!$C:$C,'Plaza SP Tar'!E:E)</f>
        <v>5561985.3842348736</v>
      </c>
      <c r="F51" s="1">
        <v>10000</v>
      </c>
      <c r="G51" s="1">
        <f>_xlfn.XLOOKUP($C51,'Plaza SP Tar'!$C:$C,'Plaza SP Tar'!F:F)</f>
        <v>6356554.7248398559</v>
      </c>
      <c r="H51" s="1">
        <v>18000</v>
      </c>
      <c r="I51" s="1">
        <f>_xlfn.XLOOKUP($C51,'Plaza SP Tar'!$C:$C,'Plaza SP Tar'!G:G)</f>
        <v>6992210.1973238401</v>
      </c>
      <c r="J51" s="1">
        <v>25000</v>
      </c>
      <c r="K51" s="1">
        <f>_xlfn.XLOOKUP($C51,'Plaza SP Tar'!$C:$C,'Plaza SP Tar'!H:H)</f>
        <v>7627865.6698078262</v>
      </c>
      <c r="L51" s="1">
        <v>30000</v>
      </c>
      <c r="M51" s="1">
        <f>_xlfn.XLOOKUP($C51,'Plaza SP Tar'!$C:$C,'Plaza SP Tar'!I:I)</f>
        <v>8263521.1422918122</v>
      </c>
      <c r="N51" s="1">
        <v>40000</v>
      </c>
      <c r="O51" s="1">
        <f>_xlfn.XLOOKUP($C51,'Plaza SP Tar'!$C:$C,'Plaza SP Tar'!J:J)</f>
        <v>8899176.6147757974</v>
      </c>
      <c r="P51" s="1">
        <v>45000</v>
      </c>
      <c r="Q51" s="1">
        <f>_xlfn.XLOOKUP($C51,'Plaza SP Tar'!$C:$C,'Plaza SP Tar'!K:K)</f>
        <v>9534832.0872597825</v>
      </c>
      <c r="R51">
        <v>50000</v>
      </c>
    </row>
    <row r="52" spans="1:18" x14ac:dyDescent="0.25">
      <c r="A52" t="s">
        <v>3</v>
      </c>
      <c r="B52" t="s">
        <v>53</v>
      </c>
      <c r="C52" t="s">
        <v>57</v>
      </c>
      <c r="D52" s="1">
        <v>3139803</v>
      </c>
      <c r="E52" s="1">
        <f>_xlfn.XLOOKUP($C52,'Plaza SP Tar'!$C:$C,'Plaza SP Tar'!E:E)</f>
        <v>3427195.4668483688</v>
      </c>
      <c r="F52" s="1">
        <v>10000</v>
      </c>
      <c r="G52" s="1">
        <f>_xlfn.XLOOKUP($C52,'Plaza SP Tar'!$C:$C,'Plaza SP Tar'!F:F)</f>
        <v>3916794.8192552784</v>
      </c>
      <c r="H52" s="1">
        <v>18000</v>
      </c>
      <c r="I52" s="1">
        <f>_xlfn.XLOOKUP($C52,'Plaza SP Tar'!$C:$C,'Plaza SP Tar'!G:G)</f>
        <v>4308474.301180806</v>
      </c>
      <c r="J52" s="1">
        <v>25000</v>
      </c>
      <c r="K52" s="1">
        <f>_xlfn.XLOOKUP($C52,'Plaza SP Tar'!$C:$C,'Plaza SP Tar'!H:H)</f>
        <v>4700153.7831063336</v>
      </c>
      <c r="L52" s="1">
        <v>30000</v>
      </c>
      <c r="M52" s="1">
        <f>_xlfn.XLOOKUP($C52,'Plaza SP Tar'!$C:$C,'Plaza SP Tar'!I:I)</f>
        <v>5091833.2650318621</v>
      </c>
      <c r="N52" s="1">
        <v>40000</v>
      </c>
      <c r="O52" s="1">
        <f>_xlfn.XLOOKUP($C52,'Plaza SP Tar'!$C:$C,'Plaza SP Tar'!J:J)</f>
        <v>5483512.7469573887</v>
      </c>
      <c r="P52" s="1">
        <v>45000</v>
      </c>
      <c r="Q52" s="1">
        <f>_xlfn.XLOOKUP($C52,'Plaza SP Tar'!$C:$C,'Plaza SP Tar'!K:K)</f>
        <v>5875192.2288829172</v>
      </c>
      <c r="R52">
        <v>50000</v>
      </c>
    </row>
    <row r="53" spans="1:18" x14ac:dyDescent="0.25">
      <c r="A53" t="s">
        <v>3</v>
      </c>
      <c r="B53" t="s">
        <v>53</v>
      </c>
      <c r="C53" t="s">
        <v>58</v>
      </c>
      <c r="D53" s="1">
        <v>11108658</v>
      </c>
      <c r="E53" s="1">
        <f>_xlfn.XLOOKUP($C53,'Plaza SP Tar'!$C:$C,'Plaza SP Tar'!E:E)</f>
        <v>12125455.750048287</v>
      </c>
      <c r="F53" s="1">
        <v>10000</v>
      </c>
      <c r="G53" s="1">
        <f>_xlfn.XLOOKUP($C53,'Plaza SP Tar'!$C:$C,'Plaza SP Tar'!F:F)</f>
        <v>13857663.714340901</v>
      </c>
      <c r="H53" s="1">
        <v>18000</v>
      </c>
      <c r="I53" s="1">
        <f>_xlfn.XLOOKUP($C53,'Plaza SP Tar'!$C:$C,'Plaza SP Tar'!G:G)</f>
        <v>15243430.085774988</v>
      </c>
      <c r="J53" s="1">
        <v>25000</v>
      </c>
      <c r="K53" s="1">
        <f>_xlfn.XLOOKUP($C53,'Plaza SP Tar'!$C:$C,'Plaza SP Tar'!H:H)</f>
        <v>16629196.457209079</v>
      </c>
      <c r="L53" s="1">
        <v>30000</v>
      </c>
      <c r="M53" s="1">
        <f>_xlfn.XLOOKUP($C53,'Plaza SP Tar'!$C:$C,'Plaza SP Tar'!I:I)</f>
        <v>18014962.828643169</v>
      </c>
      <c r="N53" s="1">
        <v>40000</v>
      </c>
      <c r="O53" s="1">
        <f>_xlfn.XLOOKUP($C53,'Plaza SP Tar'!$C:$C,'Plaza SP Tar'!J:J)</f>
        <v>19400729.200077258</v>
      </c>
      <c r="P53" s="1">
        <v>45000</v>
      </c>
      <c r="Q53" s="1">
        <f>_xlfn.XLOOKUP($C53,'Plaza SP Tar'!$C:$C,'Plaza SP Tar'!K:K)</f>
        <v>20786495.571511351</v>
      </c>
      <c r="R53">
        <v>50000</v>
      </c>
    </row>
    <row r="54" spans="1:18" x14ac:dyDescent="0.25">
      <c r="A54" t="s">
        <v>3</v>
      </c>
      <c r="B54" t="s">
        <v>53</v>
      </c>
      <c r="C54" t="s">
        <v>59</v>
      </c>
      <c r="D54" s="1">
        <v>9284915</v>
      </c>
      <c r="E54" s="1">
        <f>_xlfn.XLOOKUP($C54,'Plaza SP Tar'!$C:$C,'Plaza SP Tar'!E:E)</f>
        <v>10134781.894938128</v>
      </c>
      <c r="F54" s="1">
        <v>10000</v>
      </c>
      <c r="G54" s="1">
        <f>_xlfn.XLOOKUP($C54,'Plaza SP Tar'!$C:$C,'Plaza SP Tar'!F:F)</f>
        <v>11582607.879929289</v>
      </c>
      <c r="H54" s="1">
        <v>18000</v>
      </c>
      <c r="I54" s="1">
        <f>_xlfn.XLOOKUP($C54,'Plaza SP Tar'!$C:$C,'Plaza SP Tar'!G:G)</f>
        <v>12740868.667922217</v>
      </c>
      <c r="J54" s="1">
        <v>25000</v>
      </c>
      <c r="K54" s="1">
        <f>_xlfn.XLOOKUP($C54,'Plaza SP Tar'!$C:$C,'Plaza SP Tar'!H:H)</f>
        <v>13899129.455915147</v>
      </c>
      <c r="L54" s="1">
        <v>30000</v>
      </c>
      <c r="M54" s="1">
        <f>_xlfn.XLOOKUP($C54,'Plaza SP Tar'!$C:$C,'Plaza SP Tar'!I:I)</f>
        <v>15057390.243908076</v>
      </c>
      <c r="N54" s="1">
        <v>40000</v>
      </c>
      <c r="O54" s="1">
        <f>_xlfn.XLOOKUP($C54,'Plaza SP Tar'!$C:$C,'Plaza SP Tar'!J:J)</f>
        <v>16215651.031901004</v>
      </c>
      <c r="P54" s="1">
        <v>45000</v>
      </c>
      <c r="Q54" s="1">
        <f>_xlfn.XLOOKUP($C54,'Plaza SP Tar'!$C:$C,'Plaza SP Tar'!K:K)</f>
        <v>17373911.819893934</v>
      </c>
      <c r="R54">
        <v>50000</v>
      </c>
    </row>
    <row r="55" spans="1:18" x14ac:dyDescent="0.25">
      <c r="A55" t="s">
        <v>3</v>
      </c>
      <c r="B55" t="s">
        <v>53</v>
      </c>
      <c r="C55" t="s">
        <v>60</v>
      </c>
      <c r="D55" s="1">
        <v>4590060</v>
      </c>
      <c r="E55" s="1">
        <f>_xlfn.XLOOKUP($C55,'Plaza SP Tar'!$C:$C,'Plaza SP Tar'!E:E)</f>
        <v>5010197.3991877912</v>
      </c>
      <c r="F55" s="1">
        <v>10000</v>
      </c>
      <c r="G55" s="1">
        <f>_xlfn.XLOOKUP($C55,'Plaza SP Tar'!$C:$C,'Plaza SP Tar'!F:F)</f>
        <v>5725939.8847860461</v>
      </c>
      <c r="H55" s="1">
        <v>18000</v>
      </c>
      <c r="I55" s="1">
        <f>_xlfn.XLOOKUP($C55,'Plaza SP Tar'!$C:$C,'Plaza SP Tar'!G:G)</f>
        <v>6298533.8732646508</v>
      </c>
      <c r="J55" s="1">
        <v>25000</v>
      </c>
      <c r="K55" s="1">
        <f>_xlfn.XLOOKUP($C55,'Plaza SP Tar'!$C:$C,'Plaza SP Tar'!H:H)</f>
        <v>6871127.8617432555</v>
      </c>
      <c r="L55" s="1">
        <v>30000</v>
      </c>
      <c r="M55" s="1">
        <f>_xlfn.XLOOKUP($C55,'Plaza SP Tar'!$C:$C,'Plaza SP Tar'!I:I)</f>
        <v>7443721.8502218602</v>
      </c>
      <c r="N55" s="1">
        <v>40000</v>
      </c>
      <c r="O55" s="1">
        <f>_xlfn.XLOOKUP($C55,'Plaza SP Tar'!$C:$C,'Plaza SP Tar'!J:J)</f>
        <v>8016315.838700464</v>
      </c>
      <c r="P55" s="1">
        <v>45000</v>
      </c>
      <c r="Q55" s="1">
        <f>_xlfn.XLOOKUP($C55,'Plaza SP Tar'!$C:$C,'Plaza SP Tar'!K:K)</f>
        <v>8588909.8271790687</v>
      </c>
      <c r="R55">
        <v>50000</v>
      </c>
    </row>
    <row r="56" spans="1:18" x14ac:dyDescent="0.25">
      <c r="A56" t="s">
        <v>3</v>
      </c>
      <c r="B56" t="s">
        <v>53</v>
      </c>
      <c r="C56" t="s">
        <v>61</v>
      </c>
      <c r="D56" s="1">
        <v>4714647</v>
      </c>
      <c r="E56" s="1">
        <f>_xlfn.XLOOKUP($C56,'Plaza SP Tar'!$C:$C,'Plaza SP Tar'!E:E)</f>
        <v>5146188.0972119141</v>
      </c>
      <c r="F56" s="1">
        <v>10000</v>
      </c>
      <c r="G56" s="1">
        <f>_xlfn.XLOOKUP($C56,'Plaza SP Tar'!$C:$C,'Plaza SP Tar'!F:F)</f>
        <v>5881357.8253850453</v>
      </c>
      <c r="H56" s="1">
        <v>18000</v>
      </c>
      <c r="I56" s="1">
        <f>_xlfn.XLOOKUP($C56,'Plaza SP Tar'!$C:$C,'Plaza SP Tar'!G:G)</f>
        <v>6469493.6079235487</v>
      </c>
      <c r="J56" s="1">
        <v>25000</v>
      </c>
      <c r="K56" s="1">
        <f>_xlfn.XLOOKUP($C56,'Plaza SP Tar'!$C:$C,'Plaza SP Tar'!H:H)</f>
        <v>7057629.3904620539</v>
      </c>
      <c r="L56" s="1">
        <v>30000</v>
      </c>
      <c r="M56" s="1">
        <f>_xlfn.XLOOKUP($C56,'Plaza SP Tar'!$C:$C,'Plaza SP Tar'!I:I)</f>
        <v>7645765.1730005583</v>
      </c>
      <c r="N56" s="1">
        <v>40000</v>
      </c>
      <c r="O56" s="1">
        <f>_xlfn.XLOOKUP($C56,'Plaza SP Tar'!$C:$C,'Plaza SP Tar'!J:J)</f>
        <v>8233900.9555390617</v>
      </c>
      <c r="P56" s="1">
        <v>45000</v>
      </c>
      <c r="Q56" s="1">
        <f>_xlfn.XLOOKUP($C56,'Plaza SP Tar'!$C:$C,'Plaza SP Tar'!K:K)</f>
        <v>8822036.738077566</v>
      </c>
      <c r="R56">
        <v>50000</v>
      </c>
    </row>
    <row r="57" spans="1:18" x14ac:dyDescent="0.25">
      <c r="A57" t="s">
        <v>3</v>
      </c>
      <c r="B57" t="s">
        <v>53</v>
      </c>
      <c r="C57" t="s">
        <v>62</v>
      </c>
      <c r="D57" s="1">
        <v>7799607</v>
      </c>
      <c r="E57" s="1">
        <f>_xlfn.XLOOKUP($C57,'Plaza SP Tar'!$C:$C,'Plaza SP Tar'!E:E)</f>
        <v>8513520.6742584817</v>
      </c>
      <c r="F57" s="1">
        <v>10000</v>
      </c>
      <c r="G57" s="1">
        <f>_xlfn.XLOOKUP($C57,'Plaza SP Tar'!$C:$C,'Plaza SP Tar'!F:F)</f>
        <v>9729737.9134382643</v>
      </c>
      <c r="H57" s="1">
        <v>18000</v>
      </c>
      <c r="I57" s="1">
        <f>_xlfn.XLOOKUP($C57,'Plaza SP Tar'!$C:$C,'Plaza SP Tar'!G:G)</f>
        <v>10702711.704782089</v>
      </c>
      <c r="J57" s="1">
        <v>25000</v>
      </c>
      <c r="K57" s="1">
        <f>_xlfn.XLOOKUP($C57,'Plaza SP Tar'!$C:$C,'Plaza SP Tar'!H:H)</f>
        <v>11675685.496125918</v>
      </c>
      <c r="L57" s="1">
        <v>30000</v>
      </c>
      <c r="M57" s="1">
        <f>_xlfn.XLOOKUP($C57,'Plaza SP Tar'!$C:$C,'Plaza SP Tar'!I:I)</f>
        <v>12648659.287469745</v>
      </c>
      <c r="N57" s="1">
        <v>40000</v>
      </c>
      <c r="O57" s="1">
        <f>_xlfn.XLOOKUP($C57,'Plaza SP Tar'!$C:$C,'Plaza SP Tar'!J:J)</f>
        <v>13621633.07881357</v>
      </c>
      <c r="P57" s="1">
        <v>45000</v>
      </c>
      <c r="Q57" s="1">
        <f>_xlfn.XLOOKUP($C57,'Plaza SP Tar'!$C:$C,'Plaza SP Tar'!K:K)</f>
        <v>14594606.870157396</v>
      </c>
      <c r="R57">
        <v>50000</v>
      </c>
    </row>
    <row r="58" spans="1:18" x14ac:dyDescent="0.25">
      <c r="A58" t="s">
        <v>3</v>
      </c>
      <c r="B58" t="s">
        <v>53</v>
      </c>
      <c r="C58" t="s">
        <v>63</v>
      </c>
      <c r="D58" s="1">
        <v>4924159</v>
      </c>
      <c r="E58" s="1">
        <f>_xlfn.XLOOKUP($C58,'Plaza SP Tar'!$C:$C,'Plaza SP Tar'!E:E)</f>
        <v>5374877.1508405451</v>
      </c>
      <c r="F58" s="1">
        <v>10000</v>
      </c>
      <c r="G58" s="1">
        <f>_xlfn.XLOOKUP($C58,'Plaza SP Tar'!$C:$C,'Plaza SP Tar'!F:F)</f>
        <v>6142716.7438177653</v>
      </c>
      <c r="H58" s="1">
        <v>18000</v>
      </c>
      <c r="I58" s="1">
        <f>_xlfn.XLOOKUP($C58,'Plaza SP Tar'!$C:$C,'Plaza SP Tar'!G:G)</f>
        <v>6756988.418199541</v>
      </c>
      <c r="J58" s="1">
        <v>25000</v>
      </c>
      <c r="K58" s="1">
        <f>_xlfn.XLOOKUP($C58,'Plaza SP Tar'!$C:$C,'Plaza SP Tar'!H:H)</f>
        <v>7371260.0925813187</v>
      </c>
      <c r="L58" s="1">
        <v>30000</v>
      </c>
      <c r="M58" s="1">
        <f>_xlfn.XLOOKUP($C58,'Plaza SP Tar'!$C:$C,'Plaza SP Tar'!I:I)</f>
        <v>7985531.7669630954</v>
      </c>
      <c r="N58" s="1">
        <v>40000</v>
      </c>
      <c r="O58" s="1">
        <f>_xlfn.XLOOKUP($C58,'Plaza SP Tar'!$C:$C,'Plaza SP Tar'!J:J)</f>
        <v>8599803.4413448703</v>
      </c>
      <c r="P58" s="1">
        <v>45000</v>
      </c>
      <c r="Q58" s="1">
        <f>_xlfn.XLOOKUP($C58,'Plaza SP Tar'!$C:$C,'Plaza SP Tar'!K:K)</f>
        <v>9214075.1157266479</v>
      </c>
      <c r="R58">
        <v>50000</v>
      </c>
    </row>
    <row r="59" spans="1:18" x14ac:dyDescent="0.25">
      <c r="A59" t="s">
        <v>3</v>
      </c>
      <c r="B59" t="s">
        <v>53</v>
      </c>
      <c r="C59" t="s">
        <v>64</v>
      </c>
      <c r="D59" s="1">
        <v>2658069</v>
      </c>
      <c r="E59" s="1">
        <f>_xlfn.XLOOKUP($C59,'Plaza SP Tar'!$C:$C,'Plaza SP Tar'!E:E)</f>
        <v>2901367.3874985711</v>
      </c>
      <c r="F59" s="1">
        <v>10000</v>
      </c>
      <c r="G59" s="1">
        <f>_xlfn.XLOOKUP($C59,'Plaza SP Tar'!$C:$C,'Plaza SP Tar'!F:F)</f>
        <v>3315848.4428555099</v>
      </c>
      <c r="H59" s="1">
        <v>18000</v>
      </c>
      <c r="I59" s="1">
        <f>_xlfn.XLOOKUP($C59,'Plaza SP Tar'!$C:$C,'Plaza SP Tar'!G:G)</f>
        <v>3647433.2871410605</v>
      </c>
      <c r="J59" s="1">
        <v>25000</v>
      </c>
      <c r="K59" s="1">
        <f>_xlfn.XLOOKUP($C59,'Plaza SP Tar'!$C:$C,'Plaza SP Tar'!H:H)</f>
        <v>3979018.1314266114</v>
      </c>
      <c r="L59" s="1">
        <v>30000</v>
      </c>
      <c r="M59" s="1">
        <f>_xlfn.XLOOKUP($C59,'Plaza SP Tar'!$C:$C,'Plaza SP Tar'!I:I)</f>
        <v>4310602.9757121624</v>
      </c>
      <c r="N59" s="1">
        <v>40000</v>
      </c>
      <c r="O59" s="1">
        <f>_xlfn.XLOOKUP($C59,'Plaza SP Tar'!$C:$C,'Plaza SP Tar'!J:J)</f>
        <v>4642187.819997713</v>
      </c>
      <c r="P59" s="1">
        <v>45000</v>
      </c>
      <c r="Q59" s="1">
        <f>_xlfn.XLOOKUP($C59,'Plaza SP Tar'!$C:$C,'Plaza SP Tar'!K:K)</f>
        <v>4973772.6642832644</v>
      </c>
      <c r="R59">
        <v>50000</v>
      </c>
    </row>
    <row r="60" spans="1:18" x14ac:dyDescent="0.25">
      <c r="A60" t="s">
        <v>3</v>
      </c>
      <c r="B60" t="s">
        <v>53</v>
      </c>
      <c r="C60" t="s">
        <v>65</v>
      </c>
      <c r="D60" s="1">
        <v>4428479</v>
      </c>
      <c r="E60" s="1">
        <f>_xlfn.XLOOKUP($C60,'Plaza SP Tar'!$C:$C,'Plaza SP Tar'!E:E)</f>
        <v>4833826.5661359001</v>
      </c>
      <c r="F60" s="1">
        <v>10000</v>
      </c>
      <c r="G60" s="1">
        <f>_xlfn.XLOOKUP($C60,'Plaza SP Tar'!$C:$C,'Plaza SP Tar'!F:F)</f>
        <v>5524373.2184410281</v>
      </c>
      <c r="H60" s="1">
        <v>18000</v>
      </c>
      <c r="I60" s="1">
        <f>_xlfn.XLOOKUP($C60,'Plaza SP Tar'!$C:$C,'Plaza SP Tar'!G:G)</f>
        <v>6076810.54028513</v>
      </c>
      <c r="J60" s="1">
        <v>25000</v>
      </c>
      <c r="K60" s="1">
        <f>_xlfn.XLOOKUP($C60,'Plaza SP Tar'!$C:$C,'Plaza SP Tar'!H:H)</f>
        <v>6629247.8621292338</v>
      </c>
      <c r="L60" s="1">
        <v>30000</v>
      </c>
      <c r="M60" s="1">
        <f>_xlfn.XLOOKUP($C60,'Plaza SP Tar'!$C:$C,'Plaza SP Tar'!I:I)</f>
        <v>7181685.1839733366</v>
      </c>
      <c r="N60" s="1">
        <v>40000</v>
      </c>
      <c r="O60" s="1">
        <f>_xlfn.XLOOKUP($C60,'Plaza SP Tar'!$C:$C,'Plaza SP Tar'!J:J)</f>
        <v>7734122.5058174385</v>
      </c>
      <c r="P60" s="1">
        <v>45000</v>
      </c>
      <c r="Q60" s="1">
        <f>_xlfn.XLOOKUP($C60,'Plaza SP Tar'!$C:$C,'Plaza SP Tar'!K:K)</f>
        <v>8286559.8276615422</v>
      </c>
      <c r="R60">
        <v>50000</v>
      </c>
    </row>
    <row r="61" spans="1:18" x14ac:dyDescent="0.25">
      <c r="A61" t="s">
        <v>3</v>
      </c>
      <c r="B61" t="s">
        <v>66</v>
      </c>
      <c r="C61" t="s">
        <v>67</v>
      </c>
      <c r="D61" s="1">
        <v>4703866</v>
      </c>
      <c r="E61" s="1">
        <f>_xlfn.XLOOKUP($C61,'Plaza SP Tar'!$C:$C,'Plaza SP Tar'!E:E)</f>
        <v>5134420.2906558691</v>
      </c>
      <c r="F61" s="1">
        <v>10000</v>
      </c>
      <c r="G61" s="1">
        <f>_xlfn.XLOOKUP($C61,'Plaza SP Tar'!$C:$C,'Plaza SP Tar'!F:F)</f>
        <v>5867908.9036067072</v>
      </c>
      <c r="H61" s="1">
        <v>18000</v>
      </c>
      <c r="I61" s="1">
        <f>_xlfn.XLOOKUP($C61,'Plaza SP Tar'!$C:$C,'Plaza SP Tar'!G:G)</f>
        <v>6454699.7939673765</v>
      </c>
      <c r="J61" s="1">
        <v>25000</v>
      </c>
      <c r="K61" s="1">
        <f>_xlfn.XLOOKUP($C61,'Plaza SP Tar'!$C:$C,'Plaza SP Tar'!H:H)</f>
        <v>7041490.6843280476</v>
      </c>
      <c r="L61" s="1">
        <v>30000</v>
      </c>
      <c r="M61" s="1">
        <f>_xlfn.XLOOKUP($C61,'Plaza SP Tar'!$C:$C,'Plaza SP Tar'!I:I)</f>
        <v>7628281.5746887187</v>
      </c>
      <c r="N61" s="1">
        <v>40000</v>
      </c>
      <c r="O61" s="1">
        <f>_xlfn.XLOOKUP($C61,'Plaza SP Tar'!$C:$C,'Plaza SP Tar'!J:J)</f>
        <v>8215072.4650493888</v>
      </c>
      <c r="P61" s="1">
        <v>45000</v>
      </c>
      <c r="Q61" s="1">
        <f>_xlfn.XLOOKUP($C61,'Plaza SP Tar'!$C:$C,'Plaza SP Tar'!K:K)</f>
        <v>8801863.3554100599</v>
      </c>
      <c r="R61">
        <v>50000</v>
      </c>
    </row>
    <row r="62" spans="1:18" x14ac:dyDescent="0.25">
      <c r="A62" t="s">
        <v>3</v>
      </c>
      <c r="B62" t="s">
        <v>66</v>
      </c>
      <c r="C62" t="s">
        <v>68</v>
      </c>
      <c r="D62" s="1">
        <v>3074910</v>
      </c>
      <c r="E62" s="1">
        <f>_xlfn.XLOOKUP($C62,'Plaza SP Tar'!$C:$C,'Plaza SP Tar'!E:E)</f>
        <v>3356362.6803868641</v>
      </c>
      <c r="F62" s="1">
        <v>10000</v>
      </c>
      <c r="G62" s="1">
        <f>_xlfn.XLOOKUP($C62,'Plaza SP Tar'!$C:$C,'Plaza SP Tar'!F:F)</f>
        <v>3835843.0632992731</v>
      </c>
      <c r="H62" s="1">
        <v>18000</v>
      </c>
      <c r="I62" s="1">
        <f>_xlfn.XLOOKUP($C62,'Plaza SP Tar'!$C:$C,'Plaza SP Tar'!G:G)</f>
        <v>4219427.3696291996</v>
      </c>
      <c r="J62" s="1">
        <v>25000</v>
      </c>
      <c r="K62" s="1">
        <f>_xlfn.XLOOKUP($C62,'Plaza SP Tar'!$C:$C,'Plaza SP Tar'!H:H)</f>
        <v>4603011.675959128</v>
      </c>
      <c r="L62" s="1">
        <v>30000</v>
      </c>
      <c r="M62" s="1">
        <f>_xlfn.XLOOKUP($C62,'Plaza SP Tar'!$C:$C,'Plaza SP Tar'!I:I)</f>
        <v>4986595.9822890554</v>
      </c>
      <c r="N62" s="1">
        <v>40000</v>
      </c>
      <c r="O62" s="1">
        <f>_xlfn.XLOOKUP($C62,'Plaza SP Tar'!$C:$C,'Plaza SP Tar'!J:J)</f>
        <v>5370180.2886189818</v>
      </c>
      <c r="P62" s="1">
        <v>45000</v>
      </c>
      <c r="Q62" s="1">
        <f>_xlfn.XLOOKUP($C62,'Plaza SP Tar'!$C:$C,'Plaza SP Tar'!K:K)</f>
        <v>5753764.5949489092</v>
      </c>
      <c r="R62">
        <v>50000</v>
      </c>
    </row>
    <row r="63" spans="1:18" x14ac:dyDescent="0.25">
      <c r="A63" t="s">
        <v>3</v>
      </c>
      <c r="B63" t="s">
        <v>66</v>
      </c>
      <c r="C63" t="s">
        <v>69</v>
      </c>
      <c r="D63" s="1">
        <v>2527522</v>
      </c>
      <c r="E63" s="1">
        <f>_xlfn.XLOOKUP($C63,'Plaza SP Tar'!$C:$C,'Plaza SP Tar'!E:E)</f>
        <v>2758871.1587190414</v>
      </c>
      <c r="F63" s="1">
        <v>10000</v>
      </c>
      <c r="G63" s="1">
        <f>_xlfn.XLOOKUP($C63,'Plaza SP Tar'!$C:$C,'Plaza SP Tar'!F:F)</f>
        <v>3152995.6099646185</v>
      </c>
      <c r="H63" s="1">
        <v>18000</v>
      </c>
      <c r="I63" s="1">
        <f>_xlfn.XLOOKUP($C63,'Plaza SP Tar'!$C:$C,'Plaza SP Tar'!G:G)</f>
        <v>3468295.1709610801</v>
      </c>
      <c r="J63" s="1">
        <v>25000</v>
      </c>
      <c r="K63" s="1">
        <f>_xlfn.XLOOKUP($C63,'Plaza SP Tar'!$C:$C,'Plaza SP Tar'!H:H)</f>
        <v>3783594.7319575422</v>
      </c>
      <c r="L63" s="1">
        <v>30000</v>
      </c>
      <c r="M63" s="1">
        <f>_xlfn.XLOOKUP($C63,'Plaza SP Tar'!$C:$C,'Plaza SP Tar'!I:I)</f>
        <v>4098894.2929540044</v>
      </c>
      <c r="N63" s="1">
        <v>40000</v>
      </c>
      <c r="O63" s="1">
        <f>_xlfn.XLOOKUP($C63,'Plaza SP Tar'!$C:$C,'Plaza SP Tar'!J:J)</f>
        <v>4414193.853950466</v>
      </c>
      <c r="P63" s="1">
        <v>45000</v>
      </c>
      <c r="Q63" s="1">
        <f>_xlfn.XLOOKUP($C63,'Plaza SP Tar'!$C:$C,'Plaza SP Tar'!K:K)</f>
        <v>4729493.4149469277</v>
      </c>
      <c r="R63">
        <v>50000</v>
      </c>
    </row>
    <row r="64" spans="1:18" x14ac:dyDescent="0.25">
      <c r="A64" t="s">
        <v>3</v>
      </c>
      <c r="B64" t="s">
        <v>66</v>
      </c>
      <c r="C64" t="s">
        <v>70</v>
      </c>
      <c r="D64" s="1">
        <v>4411557</v>
      </c>
      <c r="E64" s="1">
        <f>_xlfn.XLOOKUP($C64,'Plaza SP Tar'!$C:$C,'Plaza SP Tar'!E:E)</f>
        <v>4815355.6615313729</v>
      </c>
      <c r="F64" s="1">
        <v>10000</v>
      </c>
      <c r="G64" s="1">
        <f>_xlfn.XLOOKUP($C64,'Plaza SP Tar'!$C:$C,'Plaza SP Tar'!F:F)</f>
        <v>5503263.6131787114</v>
      </c>
      <c r="H64" s="1">
        <v>18000</v>
      </c>
      <c r="I64" s="1">
        <f>_xlfn.XLOOKUP($C64,'Plaza SP Tar'!$C:$C,'Plaza SP Tar'!G:G)</f>
        <v>6053589.9744965816</v>
      </c>
      <c r="J64" s="1">
        <v>25000</v>
      </c>
      <c r="K64" s="1">
        <f>_xlfn.XLOOKUP($C64,'Plaza SP Tar'!$C:$C,'Plaza SP Tar'!H:H)</f>
        <v>6603916.3358144537</v>
      </c>
      <c r="L64" s="1">
        <v>30000</v>
      </c>
      <c r="M64" s="1">
        <f>_xlfn.XLOOKUP($C64,'Plaza SP Tar'!$C:$C,'Plaza SP Tar'!I:I)</f>
        <v>7154242.6971323248</v>
      </c>
      <c r="N64" s="1">
        <v>40000</v>
      </c>
      <c r="O64" s="1">
        <f>_xlfn.XLOOKUP($C64,'Plaza SP Tar'!$C:$C,'Plaza SP Tar'!J:J)</f>
        <v>7704569.058450195</v>
      </c>
      <c r="P64" s="1">
        <v>45000</v>
      </c>
      <c r="Q64" s="1">
        <f>_xlfn.XLOOKUP($C64,'Plaza SP Tar'!$C:$C,'Plaza SP Tar'!K:K)</f>
        <v>8254895.4197680671</v>
      </c>
      <c r="R64">
        <v>50000</v>
      </c>
    </row>
    <row r="65" spans="1:18" x14ac:dyDescent="0.25">
      <c r="A65" t="s">
        <v>3</v>
      </c>
      <c r="B65" t="s">
        <v>66</v>
      </c>
      <c r="C65" t="s">
        <v>71</v>
      </c>
      <c r="D65" s="1">
        <v>5269345</v>
      </c>
      <c r="E65" s="1">
        <f>_xlfn.XLOOKUP($C65,'Plaza SP Tar'!$C:$C,'Plaza SP Tar'!E:E)</f>
        <v>5751658.7178431628</v>
      </c>
      <c r="F65" s="1">
        <v>10000</v>
      </c>
      <c r="G65" s="1">
        <f>_xlfn.XLOOKUP($C65,'Plaza SP Tar'!$C:$C,'Plaza SP Tar'!F:F)</f>
        <v>6573324.2489636149</v>
      </c>
      <c r="H65" s="1">
        <v>18000</v>
      </c>
      <c r="I65" s="1">
        <f>_xlfn.XLOOKUP($C65,'Plaza SP Tar'!$C:$C,'Plaza SP Tar'!G:G)</f>
        <v>7230656.6738599753</v>
      </c>
      <c r="J65" s="1">
        <v>25000</v>
      </c>
      <c r="K65" s="1">
        <f>_xlfn.XLOOKUP($C65,'Plaza SP Tar'!$C:$C,'Plaza SP Tar'!H:H)</f>
        <v>7887989.0987563375</v>
      </c>
      <c r="L65" s="1">
        <v>30000</v>
      </c>
      <c r="M65" s="1">
        <f>_xlfn.XLOOKUP($C65,'Plaza SP Tar'!$C:$C,'Plaza SP Tar'!I:I)</f>
        <v>8545321.5236526988</v>
      </c>
      <c r="N65" s="1">
        <v>40000</v>
      </c>
      <c r="O65" s="1">
        <f>_xlfn.XLOOKUP($C65,'Plaza SP Tar'!$C:$C,'Plaza SP Tar'!J:J)</f>
        <v>9202653.9485490602</v>
      </c>
      <c r="P65" s="1">
        <v>45000</v>
      </c>
      <c r="Q65" s="1">
        <f>_xlfn.XLOOKUP($C65,'Plaza SP Tar'!$C:$C,'Plaza SP Tar'!K:K)</f>
        <v>9859986.3734454215</v>
      </c>
      <c r="R65">
        <v>50000</v>
      </c>
    </row>
    <row r="66" spans="1:18" x14ac:dyDescent="0.25">
      <c r="A66" t="s">
        <v>3</v>
      </c>
      <c r="B66" t="s">
        <v>66</v>
      </c>
      <c r="C66" t="s">
        <v>72</v>
      </c>
      <c r="D66" s="1">
        <v>6872762</v>
      </c>
      <c r="E66" s="1">
        <f>_xlfn.XLOOKUP($C66,'Plaza SP Tar'!$C:$C,'Plaza SP Tar'!E:E)</f>
        <v>7501839.6922124503</v>
      </c>
      <c r="F66" s="1">
        <v>10000</v>
      </c>
      <c r="G66" s="1">
        <f>_xlfn.XLOOKUP($C66,'Plaza SP Tar'!$C:$C,'Plaza SP Tar'!F:F)</f>
        <v>8573531.0768142287</v>
      </c>
      <c r="H66" s="1">
        <v>18000</v>
      </c>
      <c r="I66" s="1">
        <f>_xlfn.XLOOKUP($C66,'Plaza SP Tar'!$C:$C,'Plaza SP Tar'!G:G)</f>
        <v>9430884.1844956502</v>
      </c>
      <c r="J66" s="1">
        <v>25000</v>
      </c>
      <c r="K66" s="1">
        <f>_xlfn.XLOOKUP($C66,'Plaza SP Tar'!$C:$C,'Plaza SP Tar'!H:H)</f>
        <v>10288237.292177074</v>
      </c>
      <c r="L66" s="1">
        <v>30000</v>
      </c>
      <c r="M66" s="1">
        <f>_xlfn.XLOOKUP($C66,'Plaza SP Tar'!$C:$C,'Plaza SP Tar'!I:I)</f>
        <v>11145590.399858497</v>
      </c>
      <c r="N66" s="1">
        <v>40000</v>
      </c>
      <c r="O66" s="1">
        <f>_xlfn.XLOOKUP($C66,'Plaza SP Tar'!$C:$C,'Plaza SP Tar'!J:J)</f>
        <v>12002943.507539919</v>
      </c>
      <c r="P66" s="1">
        <v>45000</v>
      </c>
      <c r="Q66" s="1">
        <f>_xlfn.XLOOKUP($C66,'Plaza SP Tar'!$C:$C,'Plaza SP Tar'!K:K)</f>
        <v>12860296.615221342</v>
      </c>
      <c r="R66">
        <v>50000</v>
      </c>
    </row>
    <row r="67" spans="1:18" x14ac:dyDescent="0.25">
      <c r="A67" t="s">
        <v>3</v>
      </c>
      <c r="B67" t="s">
        <v>66</v>
      </c>
      <c r="C67" t="s">
        <v>73</v>
      </c>
      <c r="D67" s="1">
        <v>4341393</v>
      </c>
      <c r="E67" s="1">
        <f>_xlfn.XLOOKUP($C67,'Plaza SP Tar'!$C:$C,'Plaza SP Tar'!E:E)</f>
        <v>4738769.4098665556</v>
      </c>
      <c r="F67" s="1">
        <v>10000</v>
      </c>
      <c r="G67" s="1">
        <f>_xlfn.XLOOKUP($C67,'Plaza SP Tar'!$C:$C,'Plaza SP Tar'!F:F)</f>
        <v>5415736.4684189204</v>
      </c>
      <c r="H67" s="1">
        <v>18000</v>
      </c>
      <c r="I67" s="1">
        <f>_xlfn.XLOOKUP($C67,'Plaza SP Tar'!$C:$C,'Plaza SP Tar'!G:G)</f>
        <v>5957310.1152608115</v>
      </c>
      <c r="J67" s="1">
        <v>25000</v>
      </c>
      <c r="K67" s="1">
        <f>_xlfn.XLOOKUP($C67,'Plaza SP Tar'!$C:$C,'Plaza SP Tar'!H:H)</f>
        <v>6498883.7621027036</v>
      </c>
      <c r="L67" s="1">
        <v>30000</v>
      </c>
      <c r="M67" s="1">
        <f>_xlfn.XLOOKUP($C67,'Plaza SP Tar'!$C:$C,'Plaza SP Tar'!I:I)</f>
        <v>7040457.4089445956</v>
      </c>
      <c r="N67" s="1">
        <v>40000</v>
      </c>
      <c r="O67" s="1">
        <f>_xlfn.XLOOKUP($C67,'Plaza SP Tar'!$C:$C,'Plaza SP Tar'!J:J)</f>
        <v>7582031.0557864876</v>
      </c>
      <c r="P67" s="1">
        <v>45000</v>
      </c>
      <c r="Q67" s="1">
        <f>_xlfn.XLOOKUP($C67,'Plaza SP Tar'!$C:$C,'Plaza SP Tar'!K:K)</f>
        <v>8123604.7026283797</v>
      </c>
      <c r="R67">
        <v>50000</v>
      </c>
    </row>
    <row r="68" spans="1:18" x14ac:dyDescent="0.25">
      <c r="A68" t="s">
        <v>3</v>
      </c>
      <c r="B68" t="s">
        <v>66</v>
      </c>
      <c r="C68" t="s">
        <v>74</v>
      </c>
      <c r="D68" s="1">
        <v>2556167</v>
      </c>
      <c r="E68" s="1">
        <f>_xlfn.XLOOKUP($C68,'Plaza SP Tar'!$C:$C,'Plaza SP Tar'!E:E)</f>
        <v>2790138.0930292103</v>
      </c>
      <c r="F68" s="1">
        <v>10000</v>
      </c>
      <c r="G68" s="1">
        <f>_xlfn.XLOOKUP($C68,'Plaza SP Tar'!$C:$C,'Plaza SP Tar'!F:F)</f>
        <v>3188729.2491762405</v>
      </c>
      <c r="H68" s="1">
        <v>18000</v>
      </c>
      <c r="I68" s="1">
        <f>_xlfn.XLOOKUP($C68,'Plaza SP Tar'!$C:$C,'Plaza SP Tar'!G:G)</f>
        <v>3507602.1740938639</v>
      </c>
      <c r="J68" s="1">
        <v>25000</v>
      </c>
      <c r="K68" s="1">
        <f>_xlfn.XLOOKUP($C68,'Plaza SP Tar'!$C:$C,'Plaza SP Tar'!H:H)</f>
        <v>3826475.0990114883</v>
      </c>
      <c r="L68" s="1">
        <v>30000</v>
      </c>
      <c r="M68" s="1">
        <f>_xlfn.XLOOKUP($C68,'Plaza SP Tar'!$C:$C,'Plaza SP Tar'!I:I)</f>
        <v>4145348.0239291126</v>
      </c>
      <c r="N68" s="1">
        <v>40000</v>
      </c>
      <c r="O68" s="1">
        <f>_xlfn.XLOOKUP($C68,'Plaza SP Tar'!$C:$C,'Plaza SP Tar'!J:J)</f>
        <v>4464220.948846736</v>
      </c>
      <c r="P68" s="1">
        <v>45000</v>
      </c>
      <c r="Q68" s="1">
        <f>_xlfn.XLOOKUP($C68,'Plaza SP Tar'!$C:$C,'Plaza SP Tar'!K:K)</f>
        <v>4783093.8737643603</v>
      </c>
      <c r="R68">
        <v>50000</v>
      </c>
    </row>
    <row r="69" spans="1:18" x14ac:dyDescent="0.25">
      <c r="A69" t="s">
        <v>3</v>
      </c>
      <c r="B69" t="s">
        <v>66</v>
      </c>
      <c r="C69" t="s">
        <v>75</v>
      </c>
      <c r="D69" s="1">
        <v>3767539</v>
      </c>
      <c r="E69" s="1">
        <f>_xlfn.XLOOKUP($C69,'Plaza SP Tar'!$C:$C,'Plaza SP Tar'!E:E)</f>
        <v>4112389.4021295081</v>
      </c>
      <c r="F69" s="1">
        <v>10000</v>
      </c>
      <c r="G69" s="1">
        <f>_xlfn.XLOOKUP($C69,'Plaza SP Tar'!$C:$C,'Plaza SP Tar'!F:F)</f>
        <v>4699873.6024337234</v>
      </c>
      <c r="H69" s="1">
        <v>18000</v>
      </c>
      <c r="I69" s="1">
        <f>_xlfn.XLOOKUP($C69,'Plaza SP Tar'!$C:$C,'Plaza SP Tar'!G:G)</f>
        <v>5169860.9626770951</v>
      </c>
      <c r="J69" s="1">
        <v>25000</v>
      </c>
      <c r="K69" s="1">
        <f>_xlfn.XLOOKUP($C69,'Plaza SP Tar'!$C:$C,'Plaza SP Tar'!H:H)</f>
        <v>5639848.3229204677</v>
      </c>
      <c r="L69" s="1">
        <v>30000</v>
      </c>
      <c r="M69" s="1">
        <f>_xlfn.XLOOKUP($C69,'Plaza SP Tar'!$C:$C,'Plaza SP Tar'!I:I)</f>
        <v>6109835.6831638403</v>
      </c>
      <c r="N69" s="1">
        <v>40000</v>
      </c>
      <c r="O69" s="1">
        <f>_xlfn.XLOOKUP($C69,'Plaza SP Tar'!$C:$C,'Plaza SP Tar'!J:J)</f>
        <v>6579823.043407212</v>
      </c>
      <c r="P69" s="1">
        <v>45000</v>
      </c>
      <c r="Q69" s="1">
        <f>_xlfn.XLOOKUP($C69,'Plaza SP Tar'!$C:$C,'Plaza SP Tar'!K:K)</f>
        <v>7049810.4036505846</v>
      </c>
      <c r="R69">
        <v>50000</v>
      </c>
    </row>
    <row r="70" spans="1:18" x14ac:dyDescent="0.25">
      <c r="A70" t="s">
        <v>3</v>
      </c>
      <c r="B70" t="s">
        <v>66</v>
      </c>
      <c r="C70" t="s">
        <v>76</v>
      </c>
      <c r="D70" s="1">
        <v>4726292</v>
      </c>
      <c r="E70" s="1">
        <f>_xlfn.XLOOKUP($C70,'Plaza SP Tar'!$C:$C,'Plaza SP Tar'!E:E)</f>
        <v>5158898.9874210926</v>
      </c>
      <c r="F70" s="1">
        <v>10000</v>
      </c>
      <c r="G70" s="1">
        <f>_xlfn.XLOOKUP($C70,'Plaza SP Tar'!$C:$C,'Plaza SP Tar'!F:F)</f>
        <v>5895884.5570526775</v>
      </c>
      <c r="H70" s="1">
        <v>18000</v>
      </c>
      <c r="I70" s="1">
        <f>_xlfn.XLOOKUP($C70,'Plaza SP Tar'!$C:$C,'Plaza SP Tar'!G:G)</f>
        <v>6485473.0127579449</v>
      </c>
      <c r="J70" s="1">
        <v>25000</v>
      </c>
      <c r="K70" s="1">
        <f>_xlfn.XLOOKUP($C70,'Plaza SP Tar'!$C:$C,'Plaza SP Tar'!H:H)</f>
        <v>7075061.4684632123</v>
      </c>
      <c r="L70" s="1">
        <v>30000</v>
      </c>
      <c r="M70" s="1">
        <f>_xlfn.XLOOKUP($C70,'Plaza SP Tar'!$C:$C,'Plaza SP Tar'!I:I)</f>
        <v>7664649.9241684806</v>
      </c>
      <c r="N70" s="1">
        <v>40000</v>
      </c>
      <c r="O70" s="1">
        <f>_xlfn.XLOOKUP($C70,'Plaza SP Tar'!$C:$C,'Plaza SP Tar'!J:J)</f>
        <v>8254238.3798737479</v>
      </c>
      <c r="P70" s="1">
        <v>45000</v>
      </c>
      <c r="Q70" s="1">
        <f>_xlfn.XLOOKUP($C70,'Plaza SP Tar'!$C:$C,'Plaza SP Tar'!K:K)</f>
        <v>8843826.8355790153</v>
      </c>
      <c r="R70">
        <v>50000</v>
      </c>
    </row>
    <row r="71" spans="1:18" x14ac:dyDescent="0.25">
      <c r="A71" t="s">
        <v>3</v>
      </c>
      <c r="B71" t="s">
        <v>66</v>
      </c>
      <c r="C71" t="s">
        <v>77</v>
      </c>
      <c r="D71" s="1">
        <v>1764008</v>
      </c>
      <c r="E71" s="1">
        <f>_xlfn.XLOOKUP($C71,'Plaza SP Tar'!$C:$C,'Plaza SP Tar'!E:E)</f>
        <v>1925471.1907352968</v>
      </c>
      <c r="F71" s="1">
        <v>10000</v>
      </c>
      <c r="G71" s="1">
        <f>_xlfn.XLOOKUP($C71,'Plaza SP Tar'!$C:$C,'Plaza SP Tar'!F:F)</f>
        <v>2200538.5036974819</v>
      </c>
      <c r="H71" s="1">
        <v>18000</v>
      </c>
      <c r="I71" s="1">
        <f>_xlfn.XLOOKUP($C71,'Plaza SP Tar'!$C:$C,'Plaza SP Tar'!G:G)</f>
        <v>2420592.3540672301</v>
      </c>
      <c r="J71" s="1">
        <v>25000</v>
      </c>
      <c r="K71" s="1">
        <f>_xlfn.XLOOKUP($C71,'Plaza SP Tar'!$C:$C,'Plaza SP Tar'!H:H)</f>
        <v>2640646.2044369783</v>
      </c>
      <c r="L71" s="1">
        <v>30000</v>
      </c>
      <c r="M71" s="1">
        <f>_xlfn.XLOOKUP($C71,'Plaza SP Tar'!$C:$C,'Plaza SP Tar'!I:I)</f>
        <v>2860700.0548067265</v>
      </c>
      <c r="N71" s="1">
        <v>40000</v>
      </c>
      <c r="O71" s="1">
        <f>_xlfn.XLOOKUP($C71,'Plaza SP Tar'!$C:$C,'Plaza SP Tar'!J:J)</f>
        <v>3080753.9051764747</v>
      </c>
      <c r="P71" s="1">
        <v>45000</v>
      </c>
      <c r="Q71" s="1">
        <f>_xlfn.XLOOKUP($C71,'Plaza SP Tar'!$C:$C,'Plaza SP Tar'!K:K)</f>
        <v>3300807.7555462229</v>
      </c>
      <c r="R71">
        <v>50000</v>
      </c>
    </row>
    <row r="72" spans="1:18" x14ac:dyDescent="0.25">
      <c r="A72" t="s">
        <v>3</v>
      </c>
      <c r="B72" t="s">
        <v>66</v>
      </c>
      <c r="C72" t="s">
        <v>78</v>
      </c>
      <c r="D72" s="1">
        <v>5212660</v>
      </c>
      <c r="E72" s="1">
        <f>_xlfn.XLOOKUP($C72,'Plaza SP Tar'!$C:$C,'Plaza SP Tar'!E:E)</f>
        <v>5689785.2260864191</v>
      </c>
      <c r="F72" s="1">
        <v>10000</v>
      </c>
      <c r="G72" s="1">
        <f>_xlfn.XLOOKUP($C72,'Plaza SP Tar'!$C:$C,'Plaza SP Tar'!F:F)</f>
        <v>6502611.6869559074</v>
      </c>
      <c r="H72" s="1">
        <v>18000</v>
      </c>
      <c r="I72" s="1">
        <f>_xlfn.XLOOKUP($C72,'Plaza SP Tar'!$C:$C,'Plaza SP Tar'!G:G)</f>
        <v>7152872.8556514978</v>
      </c>
      <c r="J72" s="1">
        <v>25000</v>
      </c>
      <c r="K72" s="1">
        <f>_xlfn.XLOOKUP($C72,'Plaza SP Tar'!$C:$C,'Plaza SP Tar'!H:H)</f>
        <v>7803134.0243470883</v>
      </c>
      <c r="L72" s="1">
        <v>30000</v>
      </c>
      <c r="M72" s="1">
        <f>_xlfn.XLOOKUP($C72,'Plaza SP Tar'!$C:$C,'Plaza SP Tar'!I:I)</f>
        <v>8453395.1930426788</v>
      </c>
      <c r="N72" s="1">
        <v>40000</v>
      </c>
      <c r="O72" s="1">
        <f>_xlfn.XLOOKUP($C72,'Plaza SP Tar'!$C:$C,'Plaza SP Tar'!J:J)</f>
        <v>9103656.3617382701</v>
      </c>
      <c r="P72" s="1">
        <v>45000</v>
      </c>
      <c r="Q72" s="1">
        <f>_xlfn.XLOOKUP($C72,'Plaza SP Tar'!$C:$C,'Plaza SP Tar'!K:K)</f>
        <v>9753917.5304338615</v>
      </c>
      <c r="R72">
        <v>50000</v>
      </c>
    </row>
    <row r="73" spans="1:18" x14ac:dyDescent="0.25">
      <c r="A73" t="s">
        <v>3</v>
      </c>
      <c r="B73" t="s">
        <v>66</v>
      </c>
      <c r="C73" t="s">
        <v>79</v>
      </c>
      <c r="D73" s="1">
        <v>6399033</v>
      </c>
      <c r="E73" s="1">
        <f>_xlfn.XLOOKUP($C73,'Plaza SP Tar'!$C:$C,'Plaza SP Tar'!E:E)</f>
        <v>6984749.3265702073</v>
      </c>
      <c r="F73" s="1">
        <v>10000</v>
      </c>
      <c r="G73" s="1">
        <f>_xlfn.XLOOKUP($C73,'Plaza SP Tar'!$C:$C,'Plaza SP Tar'!F:F)</f>
        <v>7982570.6589373797</v>
      </c>
      <c r="H73" s="1">
        <v>18000</v>
      </c>
      <c r="I73" s="1">
        <f>_xlfn.XLOOKUP($C73,'Plaza SP Tar'!$C:$C,'Plaza SP Tar'!G:G)</f>
        <v>8780827.7248311173</v>
      </c>
      <c r="J73" s="1">
        <v>25000</v>
      </c>
      <c r="K73" s="1">
        <f>_xlfn.XLOOKUP($C73,'Plaza SP Tar'!$C:$C,'Plaza SP Tar'!H:H)</f>
        <v>9579084.7907248549</v>
      </c>
      <c r="L73" s="1">
        <v>30000</v>
      </c>
      <c r="M73" s="1">
        <f>_xlfn.XLOOKUP($C73,'Plaza SP Tar'!$C:$C,'Plaza SP Tar'!I:I)</f>
        <v>10377341.856618594</v>
      </c>
      <c r="N73" s="1">
        <v>40000</v>
      </c>
      <c r="O73" s="1">
        <f>_xlfn.XLOOKUP($C73,'Plaza SP Tar'!$C:$C,'Plaza SP Tar'!J:J)</f>
        <v>11175598.92251233</v>
      </c>
      <c r="P73" s="1">
        <v>45000</v>
      </c>
      <c r="Q73" s="1">
        <f>_xlfn.XLOOKUP($C73,'Plaza SP Tar'!$C:$C,'Plaza SP Tar'!K:K)</f>
        <v>11973855.98840607</v>
      </c>
      <c r="R73">
        <v>50000</v>
      </c>
    </row>
    <row r="74" spans="1:18" x14ac:dyDescent="0.25">
      <c r="A74" t="s">
        <v>3</v>
      </c>
      <c r="B74" t="s">
        <v>66</v>
      </c>
      <c r="C74" t="s">
        <v>80</v>
      </c>
      <c r="D74" s="1">
        <v>3752630</v>
      </c>
      <c r="E74" s="1">
        <f>_xlfn.XLOOKUP($C74,'Plaza SP Tar'!$C:$C,'Plaza SP Tar'!E:E)</f>
        <v>4096115.7514529396</v>
      </c>
      <c r="F74" s="1">
        <v>10000</v>
      </c>
      <c r="G74" s="1">
        <f>_xlfn.XLOOKUP($C74,'Plaza SP Tar'!$C:$C,'Plaza SP Tar'!F:F)</f>
        <v>4681275.1445176452</v>
      </c>
      <c r="H74" s="1">
        <v>18000</v>
      </c>
      <c r="I74" s="1">
        <f>_xlfn.XLOOKUP($C74,'Plaza SP Tar'!$C:$C,'Plaza SP Tar'!G:G)</f>
        <v>5149402.6589694088</v>
      </c>
      <c r="J74" s="1">
        <v>25000</v>
      </c>
      <c r="K74" s="1">
        <f>_xlfn.XLOOKUP($C74,'Plaza SP Tar'!$C:$C,'Plaza SP Tar'!H:H)</f>
        <v>5617530.1734211734</v>
      </c>
      <c r="L74" s="1">
        <v>30000</v>
      </c>
      <c r="M74" s="1">
        <f>_xlfn.XLOOKUP($C74,'Plaza SP Tar'!$C:$C,'Plaza SP Tar'!I:I)</f>
        <v>6085657.6878729388</v>
      </c>
      <c r="N74" s="1">
        <v>40000</v>
      </c>
      <c r="O74" s="1">
        <f>_xlfn.XLOOKUP($C74,'Plaza SP Tar'!$C:$C,'Plaza SP Tar'!J:J)</f>
        <v>6553785.2023247024</v>
      </c>
      <c r="P74" s="1">
        <v>45000</v>
      </c>
      <c r="Q74" s="1">
        <f>_xlfn.XLOOKUP($C74,'Plaza SP Tar'!$C:$C,'Plaza SP Tar'!K:K)</f>
        <v>7021912.7167764669</v>
      </c>
      <c r="R74">
        <v>50000</v>
      </c>
    </row>
    <row r="75" spans="1:18" x14ac:dyDescent="0.25">
      <c r="A75" t="s">
        <v>3</v>
      </c>
      <c r="B75" t="s">
        <v>66</v>
      </c>
      <c r="C75" t="s">
        <v>81</v>
      </c>
      <c r="D75" s="1">
        <v>3308489</v>
      </c>
      <c r="E75" s="1">
        <f>_xlfn.XLOOKUP($C75,'Plaza SP Tar'!$C:$C,'Plaza SP Tar'!E:E)</f>
        <v>3611321.6348024677</v>
      </c>
      <c r="F75" s="1">
        <v>10000</v>
      </c>
      <c r="G75" s="1">
        <f>_xlfn.XLOOKUP($C75,'Plaza SP Tar'!$C:$C,'Plaza SP Tar'!F:F)</f>
        <v>4127224.7254885342</v>
      </c>
      <c r="H75" s="1">
        <v>18000</v>
      </c>
      <c r="I75" s="1">
        <f>_xlfn.XLOOKUP($C75,'Plaza SP Tar'!$C:$C,'Plaza SP Tar'!G:G)</f>
        <v>4539947.1980373869</v>
      </c>
      <c r="J75" s="1">
        <v>25000</v>
      </c>
      <c r="K75" s="1">
        <f>_xlfn.XLOOKUP($C75,'Plaza SP Tar'!$C:$C,'Plaza SP Tar'!H:H)</f>
        <v>4952669.6705862405</v>
      </c>
      <c r="L75" s="1">
        <v>30000</v>
      </c>
      <c r="M75" s="1">
        <f>_xlfn.XLOOKUP($C75,'Plaza SP Tar'!$C:$C,'Plaza SP Tar'!I:I)</f>
        <v>5365392.143135095</v>
      </c>
      <c r="N75" s="1">
        <v>40000</v>
      </c>
      <c r="O75" s="1">
        <f>_xlfn.XLOOKUP($C75,'Plaza SP Tar'!$C:$C,'Plaza SP Tar'!J:J)</f>
        <v>5778114.6156839477</v>
      </c>
      <c r="P75" s="1">
        <v>45000</v>
      </c>
      <c r="Q75" s="1">
        <f>_xlfn.XLOOKUP($C75,'Plaza SP Tar'!$C:$C,'Plaza SP Tar'!K:K)</f>
        <v>6190837.0882328013</v>
      </c>
      <c r="R75">
        <v>50000</v>
      </c>
    </row>
    <row r="76" spans="1:18" x14ac:dyDescent="0.25">
      <c r="A76" t="s">
        <v>82</v>
      </c>
      <c r="B76" t="s">
        <v>83</v>
      </c>
      <c r="C76" t="s">
        <v>84</v>
      </c>
      <c r="D76" s="1">
        <v>1699999</v>
      </c>
      <c r="E76" s="1">
        <f>_xlfn.XLOOKUP($C76,'Plaza SP Tar'!$C:$C,'Plaza SP Tar'!E:E)</f>
        <v>1855603.3185670439</v>
      </c>
      <c r="F76" s="1">
        <v>10000</v>
      </c>
      <c r="G76" s="1">
        <f>_xlfn.XLOOKUP($C76,'Plaza SP Tar'!$C:$C,'Plaza SP Tar'!F:F)</f>
        <v>2120689.5069337641</v>
      </c>
      <c r="H76" s="1">
        <v>18000</v>
      </c>
      <c r="I76" s="1">
        <f>_xlfn.XLOOKUP($C76,'Plaza SP Tar'!$C:$C,'Plaza SP Tar'!G:G)</f>
        <v>2332758.4576271405</v>
      </c>
      <c r="J76" s="1">
        <v>25000</v>
      </c>
      <c r="K76" s="1">
        <f>_xlfn.XLOOKUP($C76,'Plaza SP Tar'!$C:$C,'Plaza SP Tar'!H:H)</f>
        <v>2544827.4083205168</v>
      </c>
      <c r="L76" s="1">
        <v>30000</v>
      </c>
      <c r="M76" s="1">
        <f>_xlfn.XLOOKUP($C76,'Plaza SP Tar'!$C:$C,'Plaza SP Tar'!I:I)</f>
        <v>2756896.3590138936</v>
      </c>
      <c r="N76" s="1">
        <v>40000</v>
      </c>
      <c r="O76" s="1">
        <f>_xlfn.XLOOKUP($C76,'Plaza SP Tar'!$C:$C,'Plaza SP Tar'!J:J)</f>
        <v>2968965.3097072695</v>
      </c>
      <c r="P76" s="1">
        <v>45000</v>
      </c>
      <c r="Q76" s="1">
        <f>_xlfn.XLOOKUP($C76,'Plaza SP Tar'!$C:$C,'Plaza SP Tar'!K:K)</f>
        <v>3181034.2604006464</v>
      </c>
      <c r="R76">
        <v>50000</v>
      </c>
    </row>
    <row r="77" spans="1:18" x14ac:dyDescent="0.25">
      <c r="A77" t="s">
        <v>82</v>
      </c>
      <c r="B77" t="s">
        <v>83</v>
      </c>
      <c r="C77" t="s">
        <v>85</v>
      </c>
      <c r="D77" s="1">
        <v>2062375</v>
      </c>
      <c r="E77" s="1">
        <f>_xlfn.XLOOKUP($C77,'Plaza SP Tar'!$C:$C,'Plaza SP Tar'!E:E)</f>
        <v>2251148.3207517811</v>
      </c>
      <c r="F77" s="1">
        <v>10000</v>
      </c>
      <c r="G77" s="1">
        <f>_xlfn.XLOOKUP($C77,'Plaza SP Tar'!$C:$C,'Plaza SP Tar'!F:F)</f>
        <v>2572740.9380020355</v>
      </c>
      <c r="H77" s="1">
        <v>18000</v>
      </c>
      <c r="I77" s="1">
        <f>_xlfn.XLOOKUP($C77,'Plaza SP Tar'!$C:$C,'Plaza SP Tar'!G:G)</f>
        <v>2830015.0318022384</v>
      </c>
      <c r="J77" s="1">
        <v>25000</v>
      </c>
      <c r="K77" s="1">
        <f>_xlfn.XLOOKUP($C77,'Plaza SP Tar'!$C:$C,'Plaza SP Tar'!H:H)</f>
        <v>3087289.1256024423</v>
      </c>
      <c r="L77" s="1">
        <v>30000</v>
      </c>
      <c r="M77" s="1">
        <f>_xlfn.XLOOKUP($C77,'Plaza SP Tar'!$C:$C,'Plaza SP Tar'!I:I)</f>
        <v>3344563.2194026462</v>
      </c>
      <c r="N77" s="1">
        <v>40000</v>
      </c>
      <c r="O77" s="1">
        <f>_xlfn.XLOOKUP($C77,'Plaza SP Tar'!$C:$C,'Plaza SP Tar'!J:J)</f>
        <v>3601837.3132028491</v>
      </c>
      <c r="P77" s="1">
        <v>45000</v>
      </c>
      <c r="Q77" s="1">
        <f>_xlfn.XLOOKUP($C77,'Plaza SP Tar'!$C:$C,'Plaza SP Tar'!K:K)</f>
        <v>3859111.407003053</v>
      </c>
      <c r="R77">
        <v>50000</v>
      </c>
    </row>
    <row r="78" spans="1:18" x14ac:dyDescent="0.25">
      <c r="A78" t="s">
        <v>82</v>
      </c>
      <c r="B78" t="s">
        <v>83</v>
      </c>
      <c r="C78" t="s">
        <v>86</v>
      </c>
      <c r="D78" s="1">
        <v>2719083</v>
      </c>
      <c r="E78" s="1">
        <f>_xlfn.XLOOKUP($C78,'Plaza SP Tar'!$C:$C,'Plaza SP Tar'!E:E)</f>
        <v>2967966.1213090322</v>
      </c>
      <c r="F78" s="1">
        <v>10000</v>
      </c>
      <c r="G78" s="1">
        <f>_xlfn.XLOOKUP($C78,'Plaza SP Tar'!$C:$C,'Plaza SP Tar'!F:F)</f>
        <v>3391961.2814960363</v>
      </c>
      <c r="H78" s="1">
        <v>18000</v>
      </c>
      <c r="I78" s="1">
        <f>_xlfn.XLOOKUP($C78,'Plaza SP Tar'!$C:$C,'Plaza SP Tar'!G:G)</f>
        <v>3731157.4096456398</v>
      </c>
      <c r="J78" s="1">
        <v>25000</v>
      </c>
      <c r="K78" s="1">
        <f>_xlfn.XLOOKUP($C78,'Plaza SP Tar'!$C:$C,'Plaza SP Tar'!H:H)</f>
        <v>4070353.5377952438</v>
      </c>
      <c r="L78" s="1">
        <v>30000</v>
      </c>
      <c r="M78" s="1">
        <f>_xlfn.XLOOKUP($C78,'Plaza SP Tar'!$C:$C,'Plaza SP Tar'!I:I)</f>
        <v>4409549.6659448473</v>
      </c>
      <c r="N78" s="1">
        <v>40000</v>
      </c>
      <c r="O78" s="1">
        <f>_xlfn.XLOOKUP($C78,'Plaza SP Tar'!$C:$C,'Plaza SP Tar'!J:J)</f>
        <v>4748745.7940944508</v>
      </c>
      <c r="P78" s="1">
        <v>45000</v>
      </c>
      <c r="Q78" s="1">
        <f>_xlfn.XLOOKUP($C78,'Plaza SP Tar'!$C:$C,'Plaza SP Tar'!K:K)</f>
        <v>5087941.9222440543</v>
      </c>
      <c r="R78">
        <v>50000</v>
      </c>
    </row>
    <row r="79" spans="1:18" x14ac:dyDescent="0.25">
      <c r="A79" t="s">
        <v>82</v>
      </c>
      <c r="B79" t="s">
        <v>83</v>
      </c>
      <c r="C79" t="s">
        <v>87</v>
      </c>
      <c r="D79" s="1">
        <v>1699999</v>
      </c>
      <c r="E79" s="1">
        <f>_xlfn.XLOOKUP($C79,'Plaza SP Tar'!$C:$C,'Plaza SP Tar'!E:E)</f>
        <v>1855603.3185670439</v>
      </c>
      <c r="F79" s="1">
        <v>10000</v>
      </c>
      <c r="G79" s="1">
        <f>_xlfn.XLOOKUP($C79,'Plaza SP Tar'!$C:$C,'Plaza SP Tar'!F:F)</f>
        <v>2120689.5069337641</v>
      </c>
      <c r="H79" s="1">
        <v>18000</v>
      </c>
      <c r="I79" s="1">
        <f>_xlfn.XLOOKUP($C79,'Plaza SP Tar'!$C:$C,'Plaza SP Tar'!G:G)</f>
        <v>2332758.4576271405</v>
      </c>
      <c r="J79" s="1">
        <v>25000</v>
      </c>
      <c r="K79" s="1">
        <f>_xlfn.XLOOKUP($C79,'Plaza SP Tar'!$C:$C,'Plaza SP Tar'!H:H)</f>
        <v>2544827.4083205168</v>
      </c>
      <c r="L79" s="1">
        <v>30000</v>
      </c>
      <c r="M79" s="1">
        <f>_xlfn.XLOOKUP($C79,'Plaza SP Tar'!$C:$C,'Plaza SP Tar'!I:I)</f>
        <v>2756896.3590138936</v>
      </c>
      <c r="N79" s="1">
        <v>40000</v>
      </c>
      <c r="O79" s="1">
        <f>_xlfn.XLOOKUP($C79,'Plaza SP Tar'!$C:$C,'Plaza SP Tar'!J:J)</f>
        <v>2968965.3097072695</v>
      </c>
      <c r="P79" s="1">
        <v>45000</v>
      </c>
      <c r="Q79" s="1">
        <f>_xlfn.XLOOKUP($C79,'Plaza SP Tar'!$C:$C,'Plaza SP Tar'!K:K)</f>
        <v>3181034.2604006464</v>
      </c>
      <c r="R79">
        <v>50000</v>
      </c>
    </row>
    <row r="80" spans="1:18" x14ac:dyDescent="0.25">
      <c r="A80" t="s">
        <v>82</v>
      </c>
      <c r="B80" t="s">
        <v>83</v>
      </c>
      <c r="C80" t="s">
        <v>88</v>
      </c>
      <c r="D80" s="1">
        <v>3057956</v>
      </c>
      <c r="E80" s="1">
        <f>_xlfn.XLOOKUP($C80,'Plaza SP Tar'!$C:$C,'Plaza SP Tar'!E:E)</f>
        <v>3337856.8467581468</v>
      </c>
      <c r="F80" s="1">
        <v>10000</v>
      </c>
      <c r="G80" s="1">
        <f>_xlfn.XLOOKUP($C80,'Plaza SP Tar'!$C:$C,'Plaza SP Tar'!F:F)</f>
        <v>3814693.5391521677</v>
      </c>
      <c r="H80" s="1">
        <v>18000</v>
      </c>
      <c r="I80" s="1">
        <f>_xlfn.XLOOKUP($C80,'Plaza SP Tar'!$C:$C,'Plaza SP Tar'!G:G)</f>
        <v>4196162.8930673841</v>
      </c>
      <c r="J80" s="1">
        <v>25000</v>
      </c>
      <c r="K80" s="1">
        <f>_xlfn.XLOOKUP($C80,'Plaza SP Tar'!$C:$C,'Plaza SP Tar'!H:H)</f>
        <v>4577632.2469826015</v>
      </c>
      <c r="L80" s="1">
        <v>30000</v>
      </c>
      <c r="M80" s="1">
        <f>_xlfn.XLOOKUP($C80,'Plaza SP Tar'!$C:$C,'Plaza SP Tar'!I:I)</f>
        <v>4959101.6008978179</v>
      </c>
      <c r="N80" s="1">
        <v>40000</v>
      </c>
      <c r="O80" s="1">
        <f>_xlfn.XLOOKUP($C80,'Plaza SP Tar'!$C:$C,'Plaza SP Tar'!J:J)</f>
        <v>5340570.9548130343</v>
      </c>
      <c r="P80" s="1">
        <v>45000</v>
      </c>
      <c r="Q80" s="1">
        <f>_xlfn.XLOOKUP($C80,'Plaza SP Tar'!$C:$C,'Plaza SP Tar'!K:K)</f>
        <v>5722040.3087282516</v>
      </c>
      <c r="R80">
        <v>50000</v>
      </c>
    </row>
    <row r="81" spans="1:18" x14ac:dyDescent="0.25">
      <c r="A81" t="s">
        <v>82</v>
      </c>
      <c r="B81" t="s">
        <v>83</v>
      </c>
      <c r="C81" t="s">
        <v>89</v>
      </c>
      <c r="D81" s="1">
        <v>5676097</v>
      </c>
      <c r="E81" s="1">
        <f>_xlfn.XLOOKUP($C81,'Plaza SP Tar'!$C:$C,'Plaza SP Tar'!E:E)</f>
        <v>6195641.5443235207</v>
      </c>
      <c r="F81" s="1">
        <v>10000</v>
      </c>
      <c r="G81" s="1">
        <f>_xlfn.XLOOKUP($C81,'Plaza SP Tar'!$C:$C,'Plaza SP Tar'!F:F)</f>
        <v>7080733.1935125953</v>
      </c>
      <c r="H81" s="1">
        <v>18000</v>
      </c>
      <c r="I81" s="1">
        <f>_xlfn.XLOOKUP($C81,'Plaza SP Tar'!$C:$C,'Plaza SP Tar'!G:G)</f>
        <v>7788806.5128638539</v>
      </c>
      <c r="J81" s="1">
        <v>25000</v>
      </c>
      <c r="K81" s="1">
        <f>_xlfn.XLOOKUP($C81,'Plaza SP Tar'!$C:$C,'Plaza SP Tar'!H:H)</f>
        <v>8496879.8322151136</v>
      </c>
      <c r="L81" s="1">
        <v>30000</v>
      </c>
      <c r="M81" s="1">
        <f>_xlfn.XLOOKUP($C81,'Plaza SP Tar'!$C:$C,'Plaza SP Tar'!I:I)</f>
        <v>9204953.1515663732</v>
      </c>
      <c r="N81" s="1">
        <v>40000</v>
      </c>
      <c r="O81" s="1">
        <f>_xlfn.XLOOKUP($C81,'Plaza SP Tar'!$C:$C,'Plaza SP Tar'!J:J)</f>
        <v>9913026.4709176328</v>
      </c>
      <c r="P81" s="1">
        <v>45000</v>
      </c>
      <c r="Q81" s="1">
        <f>_xlfn.XLOOKUP($C81,'Plaza SP Tar'!$C:$C,'Plaza SP Tar'!K:K)</f>
        <v>10621099.790268892</v>
      </c>
      <c r="R81">
        <v>50000</v>
      </c>
    </row>
    <row r="82" spans="1:18" x14ac:dyDescent="0.25">
      <c r="A82" t="s">
        <v>82</v>
      </c>
      <c r="B82" t="s">
        <v>83</v>
      </c>
      <c r="C82" t="s">
        <v>90</v>
      </c>
      <c r="D82" s="1">
        <v>6769956</v>
      </c>
      <c r="E82" s="1">
        <f>_xlfn.XLOOKUP($C82,'Plaza SP Tar'!$C:$C,'Plaza SP Tar'!E:E)</f>
        <v>7389623.6528097186</v>
      </c>
      <c r="F82" s="1">
        <v>10000</v>
      </c>
      <c r="G82" s="1">
        <f>_xlfn.XLOOKUP($C82,'Plaza SP Tar'!$C:$C,'Plaza SP Tar'!F:F)</f>
        <v>8445284.1746396795</v>
      </c>
      <c r="H82" s="1">
        <v>18000</v>
      </c>
      <c r="I82" s="1">
        <f>_xlfn.XLOOKUP($C82,'Plaza SP Tar'!$C:$C,'Plaza SP Tar'!G:G)</f>
        <v>9289812.5921036452</v>
      </c>
      <c r="J82" s="1">
        <v>25000</v>
      </c>
      <c r="K82" s="1">
        <f>_xlfn.XLOOKUP($C82,'Plaza SP Tar'!$C:$C,'Plaza SP Tar'!H:H)</f>
        <v>10134341.009567615</v>
      </c>
      <c r="L82" s="1">
        <v>30000</v>
      </c>
      <c r="M82" s="1">
        <f>_xlfn.XLOOKUP($C82,'Plaza SP Tar'!$C:$C,'Plaza SP Tar'!I:I)</f>
        <v>10978869.427031582</v>
      </c>
      <c r="N82" s="1">
        <v>40000</v>
      </c>
      <c r="O82" s="1">
        <f>_xlfn.XLOOKUP($C82,'Plaza SP Tar'!$C:$C,'Plaza SP Tar'!J:J)</f>
        <v>11823397.84449555</v>
      </c>
      <c r="P82" s="1">
        <v>45000</v>
      </c>
      <c r="Q82" s="1">
        <f>_xlfn.XLOOKUP($C82,'Plaza SP Tar'!$C:$C,'Plaza SP Tar'!K:K)</f>
        <v>12667926.261959517</v>
      </c>
      <c r="R82">
        <v>50000</v>
      </c>
    </row>
    <row r="83" spans="1:18" x14ac:dyDescent="0.25">
      <c r="A83" t="s">
        <v>82</v>
      </c>
      <c r="B83" t="s">
        <v>83</v>
      </c>
      <c r="C83" t="s">
        <v>91</v>
      </c>
      <c r="D83" s="1">
        <v>2692189</v>
      </c>
      <c r="E83" s="1">
        <f>_xlfn.XLOOKUP($C83,'Plaza SP Tar'!$C:$C,'Plaza SP Tar'!E:E)</f>
        <v>2938610.4595412649</v>
      </c>
      <c r="F83" s="1">
        <v>10000</v>
      </c>
      <c r="G83" s="1">
        <f>_xlfn.XLOOKUP($C83,'Plaza SP Tar'!$C:$C,'Plaza SP Tar'!F:F)</f>
        <v>3358411.9537614458</v>
      </c>
      <c r="H83" s="1">
        <v>18000</v>
      </c>
      <c r="I83" s="1">
        <f>_xlfn.XLOOKUP($C83,'Plaza SP Tar'!$C:$C,'Plaza SP Tar'!G:G)</f>
        <v>3694253.1491375901</v>
      </c>
      <c r="J83" s="1">
        <v>25000</v>
      </c>
      <c r="K83" s="1">
        <f>_xlfn.XLOOKUP($C83,'Plaza SP Tar'!$C:$C,'Plaza SP Tar'!H:H)</f>
        <v>4030094.3445137348</v>
      </c>
      <c r="L83" s="1">
        <v>30000</v>
      </c>
      <c r="M83" s="1">
        <f>_xlfn.XLOOKUP($C83,'Plaza SP Tar'!$C:$C,'Plaza SP Tar'!I:I)</f>
        <v>4365935.5398898795</v>
      </c>
      <c r="N83" s="1">
        <v>40000</v>
      </c>
      <c r="O83" s="1">
        <f>_xlfn.XLOOKUP($C83,'Plaza SP Tar'!$C:$C,'Plaza SP Tar'!J:J)</f>
        <v>4701776.7352660233</v>
      </c>
      <c r="P83" s="1">
        <v>45000</v>
      </c>
      <c r="Q83" s="1">
        <f>_xlfn.XLOOKUP($C83,'Plaza SP Tar'!$C:$C,'Plaza SP Tar'!K:K)</f>
        <v>5037617.930642168</v>
      </c>
      <c r="R83">
        <v>50000</v>
      </c>
    </row>
    <row r="84" spans="1:18" x14ac:dyDescent="0.25">
      <c r="A84" t="s">
        <v>82</v>
      </c>
      <c r="B84" t="s">
        <v>83</v>
      </c>
      <c r="C84" t="s">
        <v>92</v>
      </c>
      <c r="D84" s="1">
        <v>1699999</v>
      </c>
      <c r="E84" s="1">
        <f>_xlfn.XLOOKUP($C84,'Plaza SP Tar'!$C:$C,'Plaza SP Tar'!E:E)</f>
        <v>1855603.3185670439</v>
      </c>
      <c r="F84" s="1">
        <v>10000</v>
      </c>
      <c r="G84" s="1">
        <f>_xlfn.XLOOKUP($C84,'Plaza SP Tar'!$C:$C,'Plaza SP Tar'!F:F)</f>
        <v>2120689.5069337641</v>
      </c>
      <c r="H84" s="1">
        <v>18000</v>
      </c>
      <c r="I84" s="1">
        <f>_xlfn.XLOOKUP($C84,'Plaza SP Tar'!$C:$C,'Plaza SP Tar'!G:G)</f>
        <v>2332758.4576271405</v>
      </c>
      <c r="J84" s="1">
        <v>25000</v>
      </c>
      <c r="K84" s="1">
        <f>_xlfn.XLOOKUP($C84,'Plaza SP Tar'!$C:$C,'Plaza SP Tar'!H:H)</f>
        <v>2544827.4083205168</v>
      </c>
      <c r="L84" s="1">
        <v>30000</v>
      </c>
      <c r="M84" s="1">
        <f>_xlfn.XLOOKUP($C84,'Plaza SP Tar'!$C:$C,'Plaza SP Tar'!I:I)</f>
        <v>2756896.3590138936</v>
      </c>
      <c r="N84" s="1">
        <v>40000</v>
      </c>
      <c r="O84" s="1">
        <f>_xlfn.XLOOKUP($C84,'Plaza SP Tar'!$C:$C,'Plaza SP Tar'!J:J)</f>
        <v>2968965.3097072695</v>
      </c>
      <c r="P84" s="1">
        <v>45000</v>
      </c>
      <c r="Q84" s="1">
        <f>_xlfn.XLOOKUP($C84,'Plaza SP Tar'!$C:$C,'Plaza SP Tar'!K:K)</f>
        <v>3181034.2604006464</v>
      </c>
      <c r="R84">
        <v>50000</v>
      </c>
    </row>
    <row r="85" spans="1:18" x14ac:dyDescent="0.25">
      <c r="A85" t="s">
        <v>82</v>
      </c>
      <c r="B85" t="s">
        <v>83</v>
      </c>
      <c r="C85" t="s">
        <v>93</v>
      </c>
      <c r="D85" s="1">
        <v>1788595</v>
      </c>
      <c r="E85" s="1">
        <f>_xlfn.XLOOKUP($C85,'Plaza SP Tar'!$C:$C,'Plaza SP Tar'!E:E)</f>
        <v>1952308.6881653587</v>
      </c>
      <c r="F85" s="1">
        <v>10000</v>
      </c>
      <c r="G85" s="1">
        <f>_xlfn.XLOOKUP($C85,'Plaza SP Tar'!$C:$C,'Plaza SP Tar'!F:F)</f>
        <v>2231209.9293318386</v>
      </c>
      <c r="H85" s="1">
        <v>18000</v>
      </c>
      <c r="I85" s="1">
        <f>_xlfn.XLOOKUP($C85,'Plaza SP Tar'!$C:$C,'Plaza SP Tar'!G:G)</f>
        <v>2454330.9222650221</v>
      </c>
      <c r="J85" s="1">
        <v>25000</v>
      </c>
      <c r="K85" s="1">
        <f>_xlfn.XLOOKUP($C85,'Plaza SP Tar'!$C:$C,'Plaza SP Tar'!H:H)</f>
        <v>2677451.915198206</v>
      </c>
      <c r="L85" s="1">
        <v>30000</v>
      </c>
      <c r="M85" s="1">
        <f>_xlfn.XLOOKUP($C85,'Plaza SP Tar'!$C:$C,'Plaza SP Tar'!I:I)</f>
        <v>2900572.9081313899</v>
      </c>
      <c r="N85" s="1">
        <v>40000</v>
      </c>
      <c r="O85" s="1">
        <f>_xlfn.XLOOKUP($C85,'Plaza SP Tar'!$C:$C,'Plaza SP Tar'!J:J)</f>
        <v>3123693.9010645738</v>
      </c>
      <c r="P85" s="1">
        <v>45000</v>
      </c>
      <c r="Q85" s="1">
        <f>_xlfn.XLOOKUP($C85,'Plaza SP Tar'!$C:$C,'Plaza SP Tar'!K:K)</f>
        <v>3346814.8939977577</v>
      </c>
      <c r="R85">
        <v>50000</v>
      </c>
    </row>
    <row r="86" spans="1:18" x14ac:dyDescent="0.25">
      <c r="A86" t="s">
        <v>82</v>
      </c>
      <c r="B86" t="s">
        <v>83</v>
      </c>
      <c r="C86" t="s">
        <v>94</v>
      </c>
      <c r="D86" s="1">
        <v>1699999</v>
      </c>
      <c r="E86" s="1">
        <f>_xlfn.XLOOKUP($C86,'Plaza SP Tar'!$C:$C,'Plaza SP Tar'!E:E)</f>
        <v>1855603.3185670439</v>
      </c>
      <c r="F86" s="1">
        <v>10000</v>
      </c>
      <c r="G86" s="1">
        <f>_xlfn.XLOOKUP($C86,'Plaza SP Tar'!$C:$C,'Plaza SP Tar'!F:F)</f>
        <v>2120689.5069337641</v>
      </c>
      <c r="H86" s="1">
        <v>18000</v>
      </c>
      <c r="I86" s="1">
        <f>_xlfn.XLOOKUP($C86,'Plaza SP Tar'!$C:$C,'Plaza SP Tar'!G:G)</f>
        <v>2332758.4576271405</v>
      </c>
      <c r="J86" s="1">
        <v>25000</v>
      </c>
      <c r="K86" s="1">
        <f>_xlfn.XLOOKUP($C86,'Plaza SP Tar'!$C:$C,'Plaza SP Tar'!H:H)</f>
        <v>2544827.4083205168</v>
      </c>
      <c r="L86" s="1">
        <v>30000</v>
      </c>
      <c r="M86" s="1">
        <f>_xlfn.XLOOKUP($C86,'Plaza SP Tar'!$C:$C,'Plaza SP Tar'!I:I)</f>
        <v>2756896.3590138936</v>
      </c>
      <c r="N86" s="1">
        <v>40000</v>
      </c>
      <c r="O86" s="1">
        <f>_xlfn.XLOOKUP($C86,'Plaza SP Tar'!$C:$C,'Plaza SP Tar'!J:J)</f>
        <v>2968965.3097072695</v>
      </c>
      <c r="P86" s="1">
        <v>45000</v>
      </c>
      <c r="Q86" s="1">
        <f>_xlfn.XLOOKUP($C86,'Plaza SP Tar'!$C:$C,'Plaza SP Tar'!K:K)</f>
        <v>3181034.2604006464</v>
      </c>
      <c r="R86">
        <v>50000</v>
      </c>
    </row>
    <row r="87" spans="1:18" x14ac:dyDescent="0.25">
      <c r="A87" t="s">
        <v>82</v>
      </c>
      <c r="B87" t="s">
        <v>83</v>
      </c>
      <c r="C87" t="s">
        <v>95</v>
      </c>
      <c r="D87" s="1">
        <v>1699999</v>
      </c>
      <c r="E87" s="1">
        <f>_xlfn.XLOOKUP($C87,'Plaza SP Tar'!$C:$C,'Plaza SP Tar'!E:E)</f>
        <v>1855603.3185670439</v>
      </c>
      <c r="F87" s="1">
        <v>10000</v>
      </c>
      <c r="G87" s="1">
        <f>_xlfn.XLOOKUP($C87,'Plaza SP Tar'!$C:$C,'Plaza SP Tar'!F:F)</f>
        <v>2120689.5069337641</v>
      </c>
      <c r="H87" s="1">
        <v>18000</v>
      </c>
      <c r="I87" s="1">
        <f>_xlfn.XLOOKUP($C87,'Plaza SP Tar'!$C:$C,'Plaza SP Tar'!G:G)</f>
        <v>2332758.4576271405</v>
      </c>
      <c r="J87" s="1">
        <v>25000</v>
      </c>
      <c r="K87" s="1">
        <f>_xlfn.XLOOKUP($C87,'Plaza SP Tar'!$C:$C,'Plaza SP Tar'!H:H)</f>
        <v>2544827.4083205168</v>
      </c>
      <c r="L87" s="1">
        <v>30000</v>
      </c>
      <c r="M87" s="1">
        <f>_xlfn.XLOOKUP($C87,'Plaza SP Tar'!$C:$C,'Plaza SP Tar'!I:I)</f>
        <v>2756896.3590138936</v>
      </c>
      <c r="N87" s="1">
        <v>40000</v>
      </c>
      <c r="O87" s="1">
        <f>_xlfn.XLOOKUP($C87,'Plaza SP Tar'!$C:$C,'Plaza SP Tar'!J:J)</f>
        <v>2968965.3097072695</v>
      </c>
      <c r="P87" s="1">
        <v>45000</v>
      </c>
      <c r="Q87" s="1">
        <f>_xlfn.XLOOKUP($C87,'Plaza SP Tar'!$C:$C,'Plaza SP Tar'!K:K)</f>
        <v>3181034.2604006464</v>
      </c>
      <c r="R87">
        <v>50000</v>
      </c>
    </row>
    <row r="88" spans="1:18" x14ac:dyDescent="0.25">
      <c r="A88" t="s">
        <v>82</v>
      </c>
      <c r="B88" t="s">
        <v>83</v>
      </c>
      <c r="C88" t="s">
        <v>96</v>
      </c>
      <c r="D88" s="1">
        <v>2086833</v>
      </c>
      <c r="E88" s="1">
        <f>_xlfn.XLOOKUP($C88,'Plaza SP Tar'!$C:$C,'Plaza SP Tar'!E:E)</f>
        <v>2277845.0105530769</v>
      </c>
      <c r="F88" s="1">
        <v>10000</v>
      </c>
      <c r="G88" s="1">
        <f>_xlfn.XLOOKUP($C88,'Plaza SP Tar'!$C:$C,'Plaza SP Tar'!F:F)</f>
        <v>2603251.4406320876</v>
      </c>
      <c r="H88" s="1">
        <v>18000</v>
      </c>
      <c r="I88" s="1">
        <f>_xlfn.XLOOKUP($C88,'Plaza SP Tar'!$C:$C,'Plaza SP Tar'!G:G)</f>
        <v>2863576.5846952959</v>
      </c>
      <c r="J88" s="1">
        <v>25000</v>
      </c>
      <c r="K88" s="1">
        <f>_xlfn.XLOOKUP($C88,'Plaza SP Tar'!$C:$C,'Plaza SP Tar'!H:H)</f>
        <v>3123901.7287585046</v>
      </c>
      <c r="L88" s="1">
        <v>30000</v>
      </c>
      <c r="M88" s="1">
        <f>_xlfn.XLOOKUP($C88,'Plaza SP Tar'!$C:$C,'Plaza SP Tar'!I:I)</f>
        <v>3384226.8728217138</v>
      </c>
      <c r="N88" s="1">
        <v>40000</v>
      </c>
      <c r="O88" s="1">
        <f>_xlfn.XLOOKUP($C88,'Plaza SP Tar'!$C:$C,'Plaza SP Tar'!J:J)</f>
        <v>3644552.016884922</v>
      </c>
      <c r="P88" s="1">
        <v>45000</v>
      </c>
      <c r="Q88" s="1">
        <f>_xlfn.XLOOKUP($C88,'Plaza SP Tar'!$C:$C,'Plaza SP Tar'!K:K)</f>
        <v>3904877.1609481312</v>
      </c>
      <c r="R88">
        <v>50000</v>
      </c>
    </row>
    <row r="89" spans="1:18" x14ac:dyDescent="0.25">
      <c r="A89" t="s">
        <v>82</v>
      </c>
      <c r="B89" t="s">
        <v>97</v>
      </c>
      <c r="C89" t="s">
        <v>98</v>
      </c>
      <c r="D89" s="1">
        <v>3002646</v>
      </c>
      <c r="E89" s="1">
        <f>_xlfn.XLOOKUP($C89,'Plaza SP Tar'!$C:$C,'Plaza SP Tar'!E:E)</f>
        <v>3277484.2115095714</v>
      </c>
      <c r="F89" s="1">
        <v>10000</v>
      </c>
      <c r="G89" s="1">
        <f>_xlfn.XLOOKUP($C89,'Plaza SP Tar'!$C:$C,'Plaza SP Tar'!F:F)</f>
        <v>3745696.2417252245</v>
      </c>
      <c r="H89" s="1">
        <v>18000</v>
      </c>
      <c r="I89" s="1">
        <f>_xlfn.XLOOKUP($C89,'Plaza SP Tar'!$C:$C,'Plaza SP Tar'!G:G)</f>
        <v>4120265.8658977463</v>
      </c>
      <c r="J89" s="1">
        <v>25000</v>
      </c>
      <c r="K89" s="1">
        <f>_xlfn.XLOOKUP($C89,'Plaza SP Tar'!$C:$C,'Plaza SP Tar'!H:H)</f>
        <v>4494835.4900702685</v>
      </c>
      <c r="L89" s="1">
        <v>30000</v>
      </c>
      <c r="M89" s="1">
        <f>_xlfn.XLOOKUP($C89,'Plaza SP Tar'!$C:$C,'Plaza SP Tar'!I:I)</f>
        <v>4869405.1142427912</v>
      </c>
      <c r="N89" s="1">
        <v>40000</v>
      </c>
      <c r="O89" s="1">
        <f>_xlfn.XLOOKUP($C89,'Plaza SP Tar'!$C:$C,'Plaza SP Tar'!J:J)</f>
        <v>5243974.7384153139</v>
      </c>
      <c r="P89" s="1">
        <v>45000</v>
      </c>
      <c r="Q89" s="1">
        <f>_xlfn.XLOOKUP($C89,'Plaza SP Tar'!$C:$C,'Plaza SP Tar'!K:K)</f>
        <v>5618544.3625878366</v>
      </c>
      <c r="R89">
        <v>50000</v>
      </c>
    </row>
    <row r="90" spans="1:18" x14ac:dyDescent="0.25">
      <c r="A90" t="s">
        <v>82</v>
      </c>
      <c r="B90" t="s">
        <v>97</v>
      </c>
      <c r="C90" t="s">
        <v>99</v>
      </c>
      <c r="D90" s="1">
        <v>4386709</v>
      </c>
      <c r="E90" s="1">
        <f>_xlfn.XLOOKUP($C90,'Plaza SP Tar'!$C:$C,'Plaza SP Tar'!E:E)</f>
        <v>4788233.27424776</v>
      </c>
      <c r="F90" s="1">
        <v>10000</v>
      </c>
      <c r="G90" s="1">
        <f>_xlfn.XLOOKUP($C90,'Plaza SP Tar'!$C:$C,'Plaza SP Tar'!F:F)</f>
        <v>5472266.5991402976</v>
      </c>
      <c r="H90" s="1">
        <v>18000</v>
      </c>
      <c r="I90" s="1">
        <f>_xlfn.XLOOKUP($C90,'Plaza SP Tar'!$C:$C,'Plaza SP Tar'!G:G)</f>
        <v>6019493.2590543265</v>
      </c>
      <c r="J90" s="1">
        <v>25000</v>
      </c>
      <c r="K90" s="1">
        <f>_xlfn.XLOOKUP($C90,'Plaza SP Tar'!$C:$C,'Plaza SP Tar'!H:H)</f>
        <v>6566719.9189683562</v>
      </c>
      <c r="L90" s="1">
        <v>30000</v>
      </c>
      <c r="M90" s="1">
        <f>_xlfn.XLOOKUP($C90,'Plaza SP Tar'!$C:$C,'Plaza SP Tar'!I:I)</f>
        <v>7113946.578882386</v>
      </c>
      <c r="N90" s="1">
        <v>40000</v>
      </c>
      <c r="O90" s="1">
        <f>_xlfn.XLOOKUP($C90,'Plaza SP Tar'!$C:$C,'Plaza SP Tar'!J:J)</f>
        <v>7661173.2387964157</v>
      </c>
      <c r="P90" s="1">
        <v>45000</v>
      </c>
      <c r="Q90" s="1">
        <f>_xlfn.XLOOKUP($C90,'Plaza SP Tar'!$C:$C,'Plaza SP Tar'!K:K)</f>
        <v>8208399.8987104455</v>
      </c>
      <c r="R90">
        <v>50000</v>
      </c>
    </row>
    <row r="91" spans="1:18" x14ac:dyDescent="0.25">
      <c r="A91" t="s">
        <v>82</v>
      </c>
      <c r="B91" t="s">
        <v>97</v>
      </c>
      <c r="C91" t="s">
        <v>100</v>
      </c>
      <c r="D91" s="1">
        <v>6984999</v>
      </c>
      <c r="E91" s="1">
        <f>_xlfn.XLOOKUP($C91,'Plaza SP Tar'!$C:$C,'Plaza SP Tar'!E:E)</f>
        <v>7624349.9699632069</v>
      </c>
      <c r="F91" s="1">
        <v>10000</v>
      </c>
      <c r="G91" s="1">
        <f>_xlfn.XLOOKUP($C91,'Plaza SP Tar'!$C:$C,'Plaza SP Tar'!F:F)</f>
        <v>8713542.8228150941</v>
      </c>
      <c r="H91" s="1">
        <v>18000</v>
      </c>
      <c r="I91" s="1">
        <f>_xlfn.XLOOKUP($C91,'Plaza SP Tar'!$C:$C,'Plaza SP Tar'!G:G)</f>
        <v>9584897.1050966028</v>
      </c>
      <c r="J91" s="1">
        <v>25000</v>
      </c>
      <c r="K91" s="1">
        <f>_xlfn.XLOOKUP($C91,'Plaza SP Tar'!$C:$C,'Plaza SP Tar'!H:H)</f>
        <v>10456251.387378111</v>
      </c>
      <c r="L91" s="1">
        <v>30000</v>
      </c>
      <c r="M91" s="1">
        <f>_xlfn.XLOOKUP($C91,'Plaza SP Tar'!$C:$C,'Plaza SP Tar'!I:I)</f>
        <v>11327605.669659622</v>
      </c>
      <c r="N91" s="1">
        <v>40000</v>
      </c>
      <c r="O91" s="1">
        <f>_xlfn.XLOOKUP($C91,'Plaza SP Tar'!$C:$C,'Plaza SP Tar'!J:J)</f>
        <v>12198959.951941131</v>
      </c>
      <c r="P91" s="1">
        <v>45000</v>
      </c>
      <c r="Q91" s="1">
        <f>_xlfn.XLOOKUP($C91,'Plaza SP Tar'!$C:$C,'Plaza SP Tar'!K:K)</f>
        <v>13070314.234222639</v>
      </c>
      <c r="R91">
        <v>50000</v>
      </c>
    </row>
    <row r="92" spans="1:18" x14ac:dyDescent="0.25">
      <c r="A92" t="s">
        <v>82</v>
      </c>
      <c r="B92" t="s">
        <v>97</v>
      </c>
      <c r="C92" t="s">
        <v>101</v>
      </c>
      <c r="D92" s="1">
        <v>8052552</v>
      </c>
      <c r="E92" s="1">
        <f>_xlfn.XLOOKUP($C92,'Plaza SP Tar'!$C:$C,'Plaza SP Tar'!E:E)</f>
        <v>8789618.2375011314</v>
      </c>
      <c r="F92" s="1">
        <v>10000</v>
      </c>
      <c r="G92" s="1">
        <f>_xlfn.XLOOKUP($C92,'Plaza SP Tar'!$C:$C,'Plaza SP Tar'!F:F)</f>
        <v>10045277.985715579</v>
      </c>
      <c r="H92" s="1">
        <v>18000</v>
      </c>
      <c r="I92" s="1">
        <f>_xlfn.XLOOKUP($C92,'Plaza SP Tar'!$C:$C,'Plaza SP Tar'!G:G)</f>
        <v>11049805.784287134</v>
      </c>
      <c r="J92" s="1">
        <v>25000</v>
      </c>
      <c r="K92" s="1">
        <f>_xlfn.XLOOKUP($C92,'Plaza SP Tar'!$C:$C,'Plaza SP Tar'!H:H)</f>
        <v>12054333.582858693</v>
      </c>
      <c r="L92" s="1">
        <v>30000</v>
      </c>
      <c r="M92" s="1">
        <f>_xlfn.XLOOKUP($C92,'Plaza SP Tar'!$C:$C,'Plaza SP Tar'!I:I)</f>
        <v>13058861.381430252</v>
      </c>
      <c r="N92" s="1">
        <v>40000</v>
      </c>
      <c r="O92" s="1">
        <f>_xlfn.XLOOKUP($C92,'Plaza SP Tar'!$C:$C,'Plaza SP Tar'!J:J)</f>
        <v>14063389.180001808</v>
      </c>
      <c r="P92" s="1">
        <v>45000</v>
      </c>
      <c r="Q92" s="1">
        <f>_xlfn.XLOOKUP($C92,'Plaza SP Tar'!$C:$C,'Plaza SP Tar'!K:K)</f>
        <v>15067916.978573367</v>
      </c>
      <c r="R92">
        <v>50000</v>
      </c>
    </row>
    <row r="93" spans="1:18" x14ac:dyDescent="0.25">
      <c r="A93" t="s">
        <v>82</v>
      </c>
      <c r="B93" t="s">
        <v>97</v>
      </c>
      <c r="C93" t="s">
        <v>102</v>
      </c>
      <c r="D93" s="1">
        <v>1700001</v>
      </c>
      <c r="E93" s="1">
        <f>_xlfn.XLOOKUP($C93,'Plaza SP Tar'!$C:$C,'Plaza SP Tar'!E:E)</f>
        <v>1855605.5016310557</v>
      </c>
      <c r="F93" s="1">
        <v>10000</v>
      </c>
      <c r="G93" s="1">
        <f>_xlfn.XLOOKUP($C93,'Plaza SP Tar'!$C:$C,'Plaza SP Tar'!F:F)</f>
        <v>2120692.0018640636</v>
      </c>
      <c r="H93" s="1">
        <v>18000</v>
      </c>
      <c r="I93" s="1">
        <f>_xlfn.XLOOKUP($C93,'Plaza SP Tar'!$C:$C,'Plaza SP Tar'!G:G)</f>
        <v>2332761.2020504698</v>
      </c>
      <c r="J93" s="1">
        <v>25000</v>
      </c>
      <c r="K93" s="1">
        <f>_xlfn.XLOOKUP($C93,'Plaza SP Tar'!$C:$C,'Plaza SP Tar'!H:H)</f>
        <v>2544830.4022368761</v>
      </c>
      <c r="L93" s="1">
        <v>30000</v>
      </c>
      <c r="M93" s="1">
        <f>_xlfn.XLOOKUP($C93,'Plaza SP Tar'!$C:$C,'Plaza SP Tar'!I:I)</f>
        <v>2756899.6024232828</v>
      </c>
      <c r="N93" s="1">
        <v>40000</v>
      </c>
      <c r="O93" s="1">
        <f>_xlfn.XLOOKUP($C93,'Plaza SP Tar'!$C:$C,'Plaza SP Tar'!J:J)</f>
        <v>2968968.8026096886</v>
      </c>
      <c r="P93" s="1">
        <v>45000</v>
      </c>
      <c r="Q93" s="1">
        <f>_xlfn.XLOOKUP($C93,'Plaza SP Tar'!$C:$C,'Plaza SP Tar'!K:K)</f>
        <v>3181038.0027960953</v>
      </c>
      <c r="R93">
        <v>50000</v>
      </c>
    </row>
    <row r="94" spans="1:18" x14ac:dyDescent="0.25">
      <c r="A94" t="s">
        <v>82</v>
      </c>
      <c r="B94" t="s">
        <v>97</v>
      </c>
      <c r="C94" t="s">
        <v>103</v>
      </c>
      <c r="D94" s="1">
        <v>1700000</v>
      </c>
      <c r="E94" s="1">
        <f>_xlfn.XLOOKUP($C94,'Plaza SP Tar'!$C:$C,'Plaza SP Tar'!E:E)</f>
        <v>1855604.4100990498</v>
      </c>
      <c r="F94" s="1">
        <v>10000</v>
      </c>
      <c r="G94" s="1">
        <f>_xlfn.XLOOKUP($C94,'Plaza SP Tar'!$C:$C,'Plaza SP Tar'!F:F)</f>
        <v>2120690.7543989141</v>
      </c>
      <c r="H94" s="1">
        <v>18000</v>
      </c>
      <c r="I94" s="1">
        <f>_xlfn.XLOOKUP($C94,'Plaza SP Tar'!$C:$C,'Plaza SP Tar'!G:G)</f>
        <v>2332759.8298388049</v>
      </c>
      <c r="J94" s="1">
        <v>25000</v>
      </c>
      <c r="K94" s="1">
        <f>_xlfn.XLOOKUP($C94,'Plaza SP Tar'!$C:$C,'Plaza SP Tar'!H:H)</f>
        <v>2544828.9052786967</v>
      </c>
      <c r="L94" s="1">
        <v>30000</v>
      </c>
      <c r="M94" s="1">
        <f>_xlfn.XLOOKUP($C94,'Plaza SP Tar'!$C:$C,'Plaza SP Tar'!I:I)</f>
        <v>2756897.980718588</v>
      </c>
      <c r="N94" s="1">
        <v>40000</v>
      </c>
      <c r="O94" s="1">
        <f>_xlfn.XLOOKUP($C94,'Plaza SP Tar'!$C:$C,'Plaza SP Tar'!J:J)</f>
        <v>2968967.0561584793</v>
      </c>
      <c r="P94" s="1">
        <v>45000</v>
      </c>
      <c r="Q94" s="1">
        <f>_xlfn.XLOOKUP($C94,'Plaza SP Tar'!$C:$C,'Plaza SP Tar'!K:K)</f>
        <v>3181036.1315983706</v>
      </c>
      <c r="R94">
        <v>50000</v>
      </c>
    </row>
    <row r="95" spans="1:18" x14ac:dyDescent="0.25">
      <c r="A95" t="s">
        <v>82</v>
      </c>
      <c r="B95" t="s">
        <v>97</v>
      </c>
      <c r="C95" t="s">
        <v>104</v>
      </c>
      <c r="D95" s="1">
        <v>1700000</v>
      </c>
      <c r="E95" s="1">
        <f>_xlfn.XLOOKUP($C95,'Plaza SP Tar'!$C:$C,'Plaza SP Tar'!E:E)</f>
        <v>1855604.4100990498</v>
      </c>
      <c r="F95" s="1">
        <v>10000</v>
      </c>
      <c r="G95" s="1">
        <f>_xlfn.XLOOKUP($C95,'Plaza SP Tar'!$C:$C,'Plaza SP Tar'!F:F)</f>
        <v>2120690.7543989141</v>
      </c>
      <c r="H95" s="1">
        <v>18000</v>
      </c>
      <c r="I95" s="1">
        <f>_xlfn.XLOOKUP($C95,'Plaza SP Tar'!$C:$C,'Plaza SP Tar'!G:G)</f>
        <v>2332759.8298388049</v>
      </c>
      <c r="J95" s="1">
        <v>25000</v>
      </c>
      <c r="K95" s="1">
        <f>_xlfn.XLOOKUP($C95,'Plaza SP Tar'!$C:$C,'Plaza SP Tar'!H:H)</f>
        <v>2544828.9052786967</v>
      </c>
      <c r="L95" s="1">
        <v>30000</v>
      </c>
      <c r="M95" s="1">
        <f>_xlfn.XLOOKUP($C95,'Plaza SP Tar'!$C:$C,'Plaza SP Tar'!I:I)</f>
        <v>2756897.980718588</v>
      </c>
      <c r="N95" s="1">
        <v>40000</v>
      </c>
      <c r="O95" s="1">
        <f>_xlfn.XLOOKUP($C95,'Plaza SP Tar'!$C:$C,'Plaza SP Tar'!J:J)</f>
        <v>2968967.0561584793</v>
      </c>
      <c r="P95" s="1">
        <v>45000</v>
      </c>
      <c r="Q95" s="1">
        <f>_xlfn.XLOOKUP($C95,'Plaza SP Tar'!$C:$C,'Plaza SP Tar'!K:K)</f>
        <v>3181036.1315983706</v>
      </c>
      <c r="R95">
        <v>50000</v>
      </c>
    </row>
    <row r="96" spans="1:18" x14ac:dyDescent="0.25">
      <c r="A96" t="s">
        <v>82</v>
      </c>
      <c r="B96" t="s">
        <v>97</v>
      </c>
      <c r="C96" t="s">
        <v>105</v>
      </c>
      <c r="D96" s="1">
        <v>1764008</v>
      </c>
      <c r="E96" s="1">
        <f>_xlfn.XLOOKUP($C96,'Plaza SP Tar'!$C:$C,'Plaza SP Tar'!E:E)</f>
        <v>1925471.1907352968</v>
      </c>
      <c r="F96" s="1">
        <v>10000</v>
      </c>
      <c r="G96" s="1">
        <f>_xlfn.XLOOKUP($C96,'Plaza SP Tar'!$C:$C,'Plaza SP Tar'!F:F)</f>
        <v>2200538.5036974819</v>
      </c>
      <c r="H96" s="1">
        <v>18000</v>
      </c>
      <c r="I96" s="1">
        <f>_xlfn.XLOOKUP($C96,'Plaza SP Tar'!$C:$C,'Plaza SP Tar'!G:G)</f>
        <v>2420592.3540672301</v>
      </c>
      <c r="J96" s="1">
        <v>25000</v>
      </c>
      <c r="K96" s="1">
        <f>_xlfn.XLOOKUP($C96,'Plaza SP Tar'!$C:$C,'Plaza SP Tar'!H:H)</f>
        <v>2640646.2044369783</v>
      </c>
      <c r="L96" s="1">
        <v>30000</v>
      </c>
      <c r="M96" s="1">
        <f>_xlfn.XLOOKUP($C96,'Plaza SP Tar'!$C:$C,'Plaza SP Tar'!I:I)</f>
        <v>2860700.0548067265</v>
      </c>
      <c r="N96" s="1">
        <v>40000</v>
      </c>
      <c r="O96" s="1">
        <f>_xlfn.XLOOKUP($C96,'Plaza SP Tar'!$C:$C,'Plaza SP Tar'!J:J)</f>
        <v>3080753.9051764747</v>
      </c>
      <c r="P96" s="1">
        <v>45000</v>
      </c>
      <c r="Q96" s="1">
        <f>_xlfn.XLOOKUP($C96,'Plaza SP Tar'!$C:$C,'Plaza SP Tar'!K:K)</f>
        <v>3300807.7555462229</v>
      </c>
      <c r="R96">
        <v>50000</v>
      </c>
    </row>
    <row r="97" spans="1:18" x14ac:dyDescent="0.25">
      <c r="A97" t="s">
        <v>82</v>
      </c>
      <c r="B97" t="s">
        <v>97</v>
      </c>
      <c r="C97" t="s">
        <v>106</v>
      </c>
      <c r="D97" s="1">
        <v>3208444</v>
      </c>
      <c r="E97" s="1">
        <f>_xlfn.XLOOKUP($C97,'Plaza SP Tar'!$C:$C,'Plaza SP Tar'!E:E)</f>
        <v>3502119.3152681384</v>
      </c>
      <c r="F97" s="1">
        <v>10000</v>
      </c>
      <c r="G97" s="1">
        <f>_xlfn.XLOOKUP($C97,'Plaza SP Tar'!$C:$C,'Plaza SP Tar'!F:F)</f>
        <v>4002422.0745921582</v>
      </c>
      <c r="H97" s="1">
        <v>18000</v>
      </c>
      <c r="I97" s="1">
        <f>_xlfn.XLOOKUP($C97,'Plaza SP Tar'!$C:$C,'Plaza SP Tar'!G:G)</f>
        <v>4402664.2820513733</v>
      </c>
      <c r="J97" s="1">
        <v>25000</v>
      </c>
      <c r="K97" s="1">
        <f>_xlfn.XLOOKUP($C97,'Plaza SP Tar'!$C:$C,'Plaza SP Tar'!H:H)</f>
        <v>4802906.4895105893</v>
      </c>
      <c r="L97" s="1">
        <v>30000</v>
      </c>
      <c r="M97" s="1">
        <f>_xlfn.XLOOKUP($C97,'Plaza SP Tar'!$C:$C,'Plaza SP Tar'!I:I)</f>
        <v>5203148.6969698053</v>
      </c>
      <c r="N97" s="1">
        <v>40000</v>
      </c>
      <c r="O97" s="1">
        <f>_xlfn.XLOOKUP($C97,'Plaza SP Tar'!$C:$C,'Plaza SP Tar'!J:J)</f>
        <v>5603390.9044290213</v>
      </c>
      <c r="P97" s="1">
        <v>45000</v>
      </c>
      <c r="Q97" s="1">
        <f>_xlfn.XLOOKUP($C97,'Plaza SP Tar'!$C:$C,'Plaza SP Tar'!K:K)</f>
        <v>6003633.1118882373</v>
      </c>
      <c r="R97">
        <v>50000</v>
      </c>
    </row>
    <row r="98" spans="1:18" x14ac:dyDescent="0.25">
      <c r="A98" t="s">
        <v>82</v>
      </c>
      <c r="B98" t="s">
        <v>97</v>
      </c>
      <c r="C98" t="s">
        <v>107</v>
      </c>
      <c r="D98" s="1">
        <v>2056973</v>
      </c>
      <c r="E98" s="1">
        <f>_xlfn.XLOOKUP($C98,'Plaza SP Tar'!$C:$C,'Plaza SP Tar'!E:E)</f>
        <v>2245251.8648556899</v>
      </c>
      <c r="F98" s="1">
        <v>10000</v>
      </c>
      <c r="G98" s="1">
        <f>_xlfn.XLOOKUP($C98,'Plaza SP Tar'!$C:$C,'Plaza SP Tar'!F:F)</f>
        <v>2566002.1312636454</v>
      </c>
      <c r="H98" s="1">
        <v>18000</v>
      </c>
      <c r="I98" s="1">
        <f>_xlfn.XLOOKUP($C98,'Plaza SP Tar'!$C:$C,'Plaza SP Tar'!G:G)</f>
        <v>2822602.3443900095</v>
      </c>
      <c r="J98" s="1">
        <v>25000</v>
      </c>
      <c r="K98" s="1">
        <f>_xlfn.XLOOKUP($C98,'Plaza SP Tar'!$C:$C,'Plaza SP Tar'!H:H)</f>
        <v>3079202.5575163742</v>
      </c>
      <c r="L98" s="1">
        <v>30000</v>
      </c>
      <c r="M98" s="1">
        <f>_xlfn.XLOOKUP($C98,'Plaza SP Tar'!$C:$C,'Plaza SP Tar'!I:I)</f>
        <v>3335802.7706427388</v>
      </c>
      <c r="N98" s="1">
        <v>40000</v>
      </c>
      <c r="O98" s="1">
        <f>_xlfn.XLOOKUP($C98,'Plaza SP Tar'!$C:$C,'Plaza SP Tar'!J:J)</f>
        <v>3592402.9837691034</v>
      </c>
      <c r="P98" s="1">
        <v>45000</v>
      </c>
      <c r="Q98" s="1">
        <f>_xlfn.XLOOKUP($C98,'Plaza SP Tar'!$C:$C,'Plaza SP Tar'!K:K)</f>
        <v>3849003.196895468</v>
      </c>
      <c r="R98">
        <v>50000</v>
      </c>
    </row>
    <row r="99" spans="1:18" x14ac:dyDescent="0.25">
      <c r="A99" t="s">
        <v>82</v>
      </c>
      <c r="B99" t="s">
        <v>97</v>
      </c>
      <c r="C99" t="s">
        <v>108</v>
      </c>
      <c r="D99" s="1">
        <v>4335094</v>
      </c>
      <c r="E99" s="1">
        <f>_xlfn.XLOOKUP($C99,'Plaza SP Tar'!$C:$C,'Plaza SP Tar'!E:E)</f>
        <v>4731893.8497611349</v>
      </c>
      <c r="F99" s="1">
        <v>10000</v>
      </c>
      <c r="G99" s="1">
        <f>_xlfn.XLOOKUP($C99,'Plaza SP Tar'!$C:$C,'Plaza SP Tar'!F:F)</f>
        <v>5407878.6854412975</v>
      </c>
      <c r="H99" s="1">
        <v>18000</v>
      </c>
      <c r="I99" s="1">
        <f>_xlfn.XLOOKUP($C99,'Plaza SP Tar'!$C:$C,'Plaza SP Tar'!G:G)</f>
        <v>5948666.5539854262</v>
      </c>
      <c r="J99" s="1">
        <v>25000</v>
      </c>
      <c r="K99" s="1">
        <f>_xlfn.XLOOKUP($C99,'Plaza SP Tar'!$C:$C,'Plaza SP Tar'!H:H)</f>
        <v>6489454.4225295568</v>
      </c>
      <c r="L99" s="1">
        <v>30000</v>
      </c>
      <c r="M99" s="1">
        <f>_xlfn.XLOOKUP($C99,'Plaza SP Tar'!$C:$C,'Plaza SP Tar'!I:I)</f>
        <v>7030242.2910736864</v>
      </c>
      <c r="N99" s="1">
        <v>40000</v>
      </c>
      <c r="O99" s="1">
        <f>_xlfn.XLOOKUP($C99,'Plaza SP Tar'!$C:$C,'Plaza SP Tar'!J:J)</f>
        <v>7571030.1596178152</v>
      </c>
      <c r="P99" s="1">
        <v>45000</v>
      </c>
      <c r="Q99" s="1">
        <f>_xlfn.XLOOKUP($C99,'Plaza SP Tar'!$C:$C,'Plaza SP Tar'!K:K)</f>
        <v>8111818.0281619458</v>
      </c>
      <c r="R99">
        <v>50000</v>
      </c>
    </row>
    <row r="100" spans="1:18" x14ac:dyDescent="0.25">
      <c r="A100" t="s">
        <v>82</v>
      </c>
      <c r="B100" t="s">
        <v>97</v>
      </c>
      <c r="C100" t="s">
        <v>109</v>
      </c>
      <c r="D100" s="1">
        <v>3330473</v>
      </c>
      <c r="E100" s="1">
        <f>_xlfn.XLOOKUP($C100,'Plaza SP Tar'!$C:$C,'Plaza SP Tar'!E:E)</f>
        <v>3635317.8744210661</v>
      </c>
      <c r="F100" s="1">
        <v>10000</v>
      </c>
      <c r="G100" s="1">
        <f>_xlfn.XLOOKUP($C100,'Plaza SP Tar'!$C:$C,'Plaza SP Tar'!F:F)</f>
        <v>4154648.9993383614</v>
      </c>
      <c r="H100" s="1">
        <v>18000</v>
      </c>
      <c r="I100" s="1">
        <f>_xlfn.XLOOKUP($C100,'Plaza SP Tar'!$C:$C,'Plaza SP Tar'!G:G)</f>
        <v>4570113.8992721969</v>
      </c>
      <c r="J100" s="1">
        <v>25000</v>
      </c>
      <c r="K100" s="1">
        <f>_xlfn.XLOOKUP($C100,'Plaza SP Tar'!$C:$C,'Plaza SP Tar'!H:H)</f>
        <v>4985578.7992060333</v>
      </c>
      <c r="L100" s="1">
        <v>30000</v>
      </c>
      <c r="M100" s="1">
        <f>_xlfn.XLOOKUP($C100,'Plaza SP Tar'!$C:$C,'Plaza SP Tar'!I:I)</f>
        <v>5401043.6991398698</v>
      </c>
      <c r="N100" s="1">
        <v>40000</v>
      </c>
      <c r="O100" s="1">
        <f>_xlfn.XLOOKUP($C100,'Plaza SP Tar'!$C:$C,'Plaza SP Tar'!J:J)</f>
        <v>5816508.5990737053</v>
      </c>
      <c r="P100" s="1">
        <v>45000</v>
      </c>
      <c r="Q100" s="1">
        <f>_xlfn.XLOOKUP($C100,'Plaza SP Tar'!$C:$C,'Plaza SP Tar'!K:K)</f>
        <v>6231973.4990075417</v>
      </c>
      <c r="R100">
        <v>50000</v>
      </c>
    </row>
    <row r="101" spans="1:18" x14ac:dyDescent="0.25">
      <c r="A101" t="s">
        <v>82</v>
      </c>
      <c r="B101" t="s">
        <v>97</v>
      </c>
      <c r="C101" t="s">
        <v>110</v>
      </c>
      <c r="D101" s="1">
        <v>1764009</v>
      </c>
      <c r="E101" s="1">
        <f>_xlfn.XLOOKUP($C101,'Plaza SP Tar'!$C:$C,'Plaza SP Tar'!E:E)</f>
        <v>1925472.2822673027</v>
      </c>
      <c r="F101" s="1">
        <v>10000</v>
      </c>
      <c r="G101" s="1">
        <f>_xlfn.XLOOKUP($C101,'Plaza SP Tar'!$C:$C,'Plaza SP Tar'!F:F)</f>
        <v>2200539.7511626314</v>
      </c>
      <c r="H101" s="1">
        <v>18000</v>
      </c>
      <c r="I101" s="1">
        <f>_xlfn.XLOOKUP($C101,'Plaza SP Tar'!$C:$C,'Plaza SP Tar'!G:G)</f>
        <v>2420593.7262788946</v>
      </c>
      <c r="J101" s="1">
        <v>25000</v>
      </c>
      <c r="K101" s="1">
        <f>_xlfn.XLOOKUP($C101,'Plaza SP Tar'!$C:$C,'Plaza SP Tar'!H:H)</f>
        <v>2640647.7013951577</v>
      </c>
      <c r="L101" s="1">
        <v>30000</v>
      </c>
      <c r="M101" s="1">
        <f>_xlfn.XLOOKUP($C101,'Plaza SP Tar'!$C:$C,'Plaza SP Tar'!I:I)</f>
        <v>2860701.6765114209</v>
      </c>
      <c r="N101" s="1">
        <v>40000</v>
      </c>
      <c r="O101" s="1">
        <f>_xlfn.XLOOKUP($C101,'Plaza SP Tar'!$C:$C,'Plaza SP Tar'!J:J)</f>
        <v>3080755.651627684</v>
      </c>
      <c r="P101" s="1">
        <v>45000</v>
      </c>
      <c r="Q101" s="1">
        <f>_xlfn.XLOOKUP($C101,'Plaza SP Tar'!$C:$C,'Plaza SP Tar'!K:K)</f>
        <v>3300809.6267439472</v>
      </c>
      <c r="R101">
        <v>50000</v>
      </c>
    </row>
    <row r="102" spans="1:18" x14ac:dyDescent="0.25">
      <c r="A102" t="s">
        <v>82</v>
      </c>
      <c r="B102" t="s">
        <v>97</v>
      </c>
      <c r="C102" t="s">
        <v>111</v>
      </c>
      <c r="D102" s="1">
        <v>3832018</v>
      </c>
      <c r="E102" s="1">
        <f>_xlfn.XLOOKUP($C102,'Plaza SP Tar'!$C:$C,'Plaza SP Tar'!E:E)</f>
        <v>4182770.2943405532</v>
      </c>
      <c r="F102" s="1">
        <v>10000</v>
      </c>
      <c r="G102" s="1">
        <f>_xlfn.XLOOKUP($C102,'Plaza SP Tar'!$C:$C,'Plaza SP Tar'!F:F)</f>
        <v>4780308.9078177754</v>
      </c>
      <c r="H102" s="1">
        <v>18000</v>
      </c>
      <c r="I102" s="1">
        <f>_xlfn.XLOOKUP($C102,'Plaza SP Tar'!$C:$C,'Plaza SP Tar'!G:G)</f>
        <v>5258339.7985995514</v>
      </c>
      <c r="J102" s="1">
        <v>25000</v>
      </c>
      <c r="K102" s="1">
        <f>_xlfn.XLOOKUP($C102,'Plaza SP Tar'!$C:$C,'Plaza SP Tar'!H:H)</f>
        <v>5736370.6893813293</v>
      </c>
      <c r="L102" s="1">
        <v>30000</v>
      </c>
      <c r="M102" s="1">
        <f>_xlfn.XLOOKUP($C102,'Plaza SP Tar'!$C:$C,'Plaza SP Tar'!I:I)</f>
        <v>6214401.5801631073</v>
      </c>
      <c r="N102" s="1">
        <v>40000</v>
      </c>
      <c r="O102" s="1">
        <f>_xlfn.XLOOKUP($C102,'Plaza SP Tar'!$C:$C,'Plaza SP Tar'!J:J)</f>
        <v>6692432.4709448842</v>
      </c>
      <c r="P102" s="1">
        <v>45000</v>
      </c>
      <c r="Q102" s="1">
        <f>_xlfn.XLOOKUP($C102,'Plaza SP Tar'!$C:$C,'Plaza SP Tar'!K:K)</f>
        <v>7170463.3617266621</v>
      </c>
      <c r="R102">
        <v>50000</v>
      </c>
    </row>
    <row r="103" spans="1:18" x14ac:dyDescent="0.25">
      <c r="A103" t="s">
        <v>82</v>
      </c>
      <c r="B103" t="s">
        <v>112</v>
      </c>
      <c r="C103" t="s">
        <v>113</v>
      </c>
      <c r="D103" s="1">
        <v>3413921</v>
      </c>
      <c r="E103" s="1">
        <f>_xlfn.XLOOKUP($C103,'Plaza SP Tar'!$C:$C,'Plaza SP Tar'!E:E)</f>
        <v>3726404.0372527987</v>
      </c>
      <c r="F103" s="1">
        <v>10000</v>
      </c>
      <c r="G103" s="1">
        <f>_xlfn.XLOOKUP($C103,'Plaza SP Tar'!$C:$C,'Plaza SP Tar'!F:F)</f>
        <v>4258747.4711460555</v>
      </c>
      <c r="H103" s="1">
        <v>18000</v>
      </c>
      <c r="I103" s="1">
        <f>_xlfn.XLOOKUP($C103,'Plaza SP Tar'!$C:$C,'Plaza SP Tar'!G:G)</f>
        <v>4684622.2182606608</v>
      </c>
      <c r="J103" s="1">
        <v>25000</v>
      </c>
      <c r="K103" s="1">
        <f>_xlfn.XLOOKUP($C103,'Plaza SP Tar'!$C:$C,'Plaza SP Tar'!H:H)</f>
        <v>5110496.965375267</v>
      </c>
      <c r="L103" s="1">
        <v>30000</v>
      </c>
      <c r="M103" s="1">
        <f>_xlfn.XLOOKUP($C103,'Plaza SP Tar'!$C:$C,'Plaza SP Tar'!I:I)</f>
        <v>5536371.7124898722</v>
      </c>
      <c r="N103" s="1">
        <v>40000</v>
      </c>
      <c r="O103" s="1">
        <f>_xlfn.XLOOKUP($C103,'Plaza SP Tar'!$C:$C,'Plaza SP Tar'!J:J)</f>
        <v>5962246.4596044775</v>
      </c>
      <c r="P103" s="1">
        <v>45000</v>
      </c>
      <c r="Q103" s="1">
        <f>_xlfn.XLOOKUP($C103,'Plaza SP Tar'!$C:$C,'Plaza SP Tar'!K:K)</f>
        <v>6388121.2067190828</v>
      </c>
      <c r="R103">
        <v>50000</v>
      </c>
    </row>
    <row r="104" spans="1:18" x14ac:dyDescent="0.25">
      <c r="A104" t="s">
        <v>82</v>
      </c>
      <c r="B104" t="s">
        <v>112</v>
      </c>
      <c r="C104" t="s">
        <v>114</v>
      </c>
      <c r="D104" s="1">
        <v>3174928</v>
      </c>
      <c r="E104" s="1">
        <f>_xlfn.XLOOKUP($C104,'Plaza SP Tar'!$C:$C,'Plaza SP Tar'!E:E)</f>
        <v>3465535.5285570328</v>
      </c>
      <c r="F104" s="1">
        <v>10000</v>
      </c>
      <c r="G104" s="1">
        <f>_xlfn.XLOOKUP($C104,'Plaza SP Tar'!$C:$C,'Plaza SP Tar'!F:F)</f>
        <v>3960612.0326366089</v>
      </c>
      <c r="H104" s="1">
        <v>18000</v>
      </c>
      <c r="I104" s="1">
        <f>_xlfn.XLOOKUP($C104,'Plaza SP Tar'!$C:$C,'Plaza SP Tar'!G:G)</f>
        <v>4356673.2359002689</v>
      </c>
      <c r="J104" s="1">
        <v>25000</v>
      </c>
      <c r="K104" s="1">
        <f>_xlfn.XLOOKUP($C104,'Plaza SP Tar'!$C:$C,'Plaza SP Tar'!H:H)</f>
        <v>4752734.4391639307</v>
      </c>
      <c r="L104" s="1">
        <v>30000</v>
      </c>
      <c r="M104" s="1">
        <f>_xlfn.XLOOKUP($C104,'Plaza SP Tar'!$C:$C,'Plaza SP Tar'!I:I)</f>
        <v>5148795.6424275916</v>
      </c>
      <c r="N104" s="1">
        <v>40000</v>
      </c>
      <c r="O104" s="1">
        <f>_xlfn.XLOOKUP($C104,'Plaza SP Tar'!$C:$C,'Plaza SP Tar'!J:J)</f>
        <v>5544856.8456912516</v>
      </c>
      <c r="P104" s="1">
        <v>45000</v>
      </c>
      <c r="Q104" s="1">
        <f>_xlfn.XLOOKUP($C104,'Plaza SP Tar'!$C:$C,'Plaza SP Tar'!K:K)</f>
        <v>5940918.0489549134</v>
      </c>
      <c r="R104">
        <v>50000</v>
      </c>
    </row>
    <row r="105" spans="1:18" x14ac:dyDescent="0.25">
      <c r="A105" t="s">
        <v>82</v>
      </c>
      <c r="B105" t="s">
        <v>112</v>
      </c>
      <c r="C105" t="s">
        <v>115</v>
      </c>
      <c r="D105" s="1">
        <v>4345177</v>
      </c>
      <c r="E105" s="1">
        <f>_xlfn.XLOOKUP($C105,'Plaza SP Tar'!$C:$C,'Plaza SP Tar'!E:E)</f>
        <v>4742899.7669770345</v>
      </c>
      <c r="F105" s="1">
        <v>10000</v>
      </c>
      <c r="G105" s="1">
        <f>_xlfn.XLOOKUP($C105,'Plaza SP Tar'!$C:$C,'Plaza SP Tar'!F:F)</f>
        <v>5420456.8765451824</v>
      </c>
      <c r="H105" s="1">
        <v>18000</v>
      </c>
      <c r="I105" s="1">
        <f>_xlfn.XLOOKUP($C105,'Plaza SP Tar'!$C:$C,'Plaza SP Tar'!G:G)</f>
        <v>5962502.5641997</v>
      </c>
      <c r="J105" s="1">
        <v>25000</v>
      </c>
      <c r="K105" s="1">
        <f>_xlfn.XLOOKUP($C105,'Plaza SP Tar'!$C:$C,'Plaza SP Tar'!H:H)</f>
        <v>6504548.2518542185</v>
      </c>
      <c r="L105" s="1">
        <v>30000</v>
      </c>
      <c r="M105" s="1">
        <f>_xlfn.XLOOKUP($C105,'Plaza SP Tar'!$C:$C,'Plaza SP Tar'!I:I)</f>
        <v>7046593.9395087371</v>
      </c>
      <c r="N105" s="1">
        <v>40000</v>
      </c>
      <c r="O105" s="1">
        <f>_xlfn.XLOOKUP($C105,'Plaza SP Tar'!$C:$C,'Plaza SP Tar'!J:J)</f>
        <v>7588639.6271632547</v>
      </c>
      <c r="P105" s="1">
        <v>45000</v>
      </c>
      <c r="Q105" s="1">
        <f>_xlfn.XLOOKUP($C105,'Plaza SP Tar'!$C:$C,'Plaza SP Tar'!K:K)</f>
        <v>8130685.3148177732</v>
      </c>
      <c r="R105">
        <v>50000</v>
      </c>
    </row>
    <row r="106" spans="1:18" x14ac:dyDescent="0.25">
      <c r="A106" t="s">
        <v>82</v>
      </c>
      <c r="B106" t="s">
        <v>112</v>
      </c>
      <c r="C106" t="s">
        <v>116</v>
      </c>
      <c r="D106" s="1">
        <v>3048675</v>
      </c>
      <c r="E106" s="1">
        <f>_xlfn.XLOOKUP($C106,'Plaza SP Tar'!$C:$C,'Plaza SP Tar'!E:E)</f>
        <v>3327726.3382110121</v>
      </c>
      <c r="F106" s="1">
        <v>10000</v>
      </c>
      <c r="G106" s="1">
        <f>_xlfn.XLOOKUP($C106,'Plaza SP Tar'!$C:$C,'Plaza SP Tar'!F:F)</f>
        <v>3803115.8150982992</v>
      </c>
      <c r="H106" s="1">
        <v>18000</v>
      </c>
      <c r="I106" s="1">
        <f>_xlfn.XLOOKUP($C106,'Plaza SP Tar'!$C:$C,'Plaza SP Tar'!G:G)</f>
        <v>4183427.3966081287</v>
      </c>
      <c r="J106" s="1">
        <v>25000</v>
      </c>
      <c r="K106" s="1">
        <f>_xlfn.XLOOKUP($C106,'Plaza SP Tar'!$C:$C,'Plaza SP Tar'!H:H)</f>
        <v>4563738.9781179586</v>
      </c>
      <c r="L106" s="1">
        <v>30000</v>
      </c>
      <c r="M106" s="1">
        <f>_xlfn.XLOOKUP($C106,'Plaza SP Tar'!$C:$C,'Plaza SP Tar'!I:I)</f>
        <v>4944050.5596277891</v>
      </c>
      <c r="N106" s="1">
        <v>40000</v>
      </c>
      <c r="O106" s="1">
        <f>_xlfn.XLOOKUP($C106,'Plaza SP Tar'!$C:$C,'Plaza SP Tar'!J:J)</f>
        <v>5324362.1411376186</v>
      </c>
      <c r="P106" s="1">
        <v>45000</v>
      </c>
      <c r="Q106" s="1">
        <f>_xlfn.XLOOKUP($C106,'Plaza SP Tar'!$C:$C,'Plaza SP Tar'!K:K)</f>
        <v>5704673.722647449</v>
      </c>
      <c r="R106">
        <v>50000</v>
      </c>
    </row>
    <row r="107" spans="1:18" x14ac:dyDescent="0.25">
      <c r="A107" t="s">
        <v>82</v>
      </c>
      <c r="B107" t="s">
        <v>112</v>
      </c>
      <c r="C107" t="s">
        <v>117</v>
      </c>
      <c r="D107" s="1">
        <v>2038932</v>
      </c>
      <c r="E107" s="1">
        <f>_xlfn.XLOOKUP($C107,'Plaza SP Tar'!$C:$C,'Plaza SP Tar'!E:E)</f>
        <v>2225559.5359365153</v>
      </c>
      <c r="F107" s="1">
        <v>10000</v>
      </c>
      <c r="G107" s="1">
        <f>_xlfn.XLOOKUP($C107,'Plaza SP Tar'!$C:$C,'Plaza SP Tar'!F:F)</f>
        <v>2543496.6124988743</v>
      </c>
      <c r="H107" s="1">
        <v>18000</v>
      </c>
      <c r="I107" s="1">
        <f>_xlfn.XLOOKUP($C107,'Plaza SP Tar'!$C:$C,'Plaza SP Tar'!G:G)</f>
        <v>2797846.2737487615</v>
      </c>
      <c r="J107" s="1">
        <v>25000</v>
      </c>
      <c r="K107" s="1">
        <f>_xlfn.XLOOKUP($C107,'Plaza SP Tar'!$C:$C,'Plaza SP Tar'!H:H)</f>
        <v>3052195.9349986492</v>
      </c>
      <c r="L107" s="1">
        <v>30000</v>
      </c>
      <c r="M107" s="1">
        <f>_xlfn.XLOOKUP($C107,'Plaza SP Tar'!$C:$C,'Plaza SP Tar'!I:I)</f>
        <v>3306545.5962485368</v>
      </c>
      <c r="N107" s="1">
        <v>40000</v>
      </c>
      <c r="O107" s="1">
        <f>_xlfn.XLOOKUP($C107,'Plaza SP Tar'!$C:$C,'Plaza SP Tar'!J:J)</f>
        <v>3560895.2574984236</v>
      </c>
      <c r="P107" s="1">
        <v>45000</v>
      </c>
      <c r="Q107" s="1">
        <f>_xlfn.XLOOKUP($C107,'Plaza SP Tar'!$C:$C,'Plaza SP Tar'!K:K)</f>
        <v>3815244.9187483112</v>
      </c>
      <c r="R107">
        <v>50000</v>
      </c>
    </row>
    <row r="108" spans="1:18" x14ac:dyDescent="0.25">
      <c r="A108" t="s">
        <v>82</v>
      </c>
      <c r="B108" t="s">
        <v>112</v>
      </c>
      <c r="C108" t="s">
        <v>118</v>
      </c>
      <c r="D108" s="1">
        <v>1700001</v>
      </c>
      <c r="E108" s="1">
        <f>_xlfn.XLOOKUP($C108,'Plaza SP Tar'!$C:$C,'Plaza SP Tar'!E:E)</f>
        <v>1855605.5016310557</v>
      </c>
      <c r="F108" s="1">
        <v>10000</v>
      </c>
      <c r="G108" s="1">
        <f>_xlfn.XLOOKUP($C108,'Plaza SP Tar'!$C:$C,'Plaza SP Tar'!F:F)</f>
        <v>2120692.0018640636</v>
      </c>
      <c r="H108" s="1">
        <v>18000</v>
      </c>
      <c r="I108" s="1">
        <f>_xlfn.XLOOKUP($C108,'Plaza SP Tar'!$C:$C,'Plaza SP Tar'!G:G)</f>
        <v>2332761.2020504698</v>
      </c>
      <c r="J108" s="1">
        <v>25000</v>
      </c>
      <c r="K108" s="1">
        <f>_xlfn.XLOOKUP($C108,'Plaza SP Tar'!$C:$C,'Plaza SP Tar'!H:H)</f>
        <v>2544830.4022368761</v>
      </c>
      <c r="L108" s="1">
        <v>30000</v>
      </c>
      <c r="M108" s="1">
        <f>_xlfn.XLOOKUP($C108,'Plaza SP Tar'!$C:$C,'Plaza SP Tar'!I:I)</f>
        <v>2756899.6024232828</v>
      </c>
      <c r="N108" s="1">
        <v>40000</v>
      </c>
      <c r="O108" s="1">
        <f>_xlfn.XLOOKUP($C108,'Plaza SP Tar'!$C:$C,'Plaza SP Tar'!J:J)</f>
        <v>2968968.8026096886</v>
      </c>
      <c r="P108" s="1">
        <v>45000</v>
      </c>
      <c r="Q108" s="1">
        <f>_xlfn.XLOOKUP($C108,'Plaza SP Tar'!$C:$C,'Plaza SP Tar'!K:K)</f>
        <v>3181038.0027960953</v>
      </c>
      <c r="R108">
        <v>50000</v>
      </c>
    </row>
    <row r="109" spans="1:18" x14ac:dyDescent="0.25">
      <c r="A109" t="s">
        <v>82</v>
      </c>
      <c r="B109" t="s">
        <v>112</v>
      </c>
      <c r="C109" t="s">
        <v>119</v>
      </c>
      <c r="D109" s="1">
        <v>1845468</v>
      </c>
      <c r="E109" s="1">
        <f>_xlfn.XLOOKUP($C109,'Plaza SP Tar'!$C:$C,'Plaza SP Tar'!E:E)</f>
        <v>2014387.3879392196</v>
      </c>
      <c r="F109" s="1">
        <v>10000</v>
      </c>
      <c r="G109" s="1">
        <f>_xlfn.XLOOKUP($C109,'Plaza SP Tar'!$C:$C,'Plaza SP Tar'!F:F)</f>
        <v>2302157.0147876795</v>
      </c>
      <c r="H109" s="1">
        <v>18000</v>
      </c>
      <c r="I109" s="1">
        <f>_xlfn.XLOOKUP($C109,'Plaza SP Tar'!$C:$C,'Plaza SP Tar'!G:G)</f>
        <v>2532372.7162664472</v>
      </c>
      <c r="J109" s="1">
        <v>25000</v>
      </c>
      <c r="K109" s="1">
        <f>_xlfn.XLOOKUP($C109,'Plaza SP Tar'!$C:$C,'Plaza SP Tar'!H:H)</f>
        <v>2762588.4177452149</v>
      </c>
      <c r="L109" s="1">
        <v>30000</v>
      </c>
      <c r="M109" s="1">
        <f>_xlfn.XLOOKUP($C109,'Plaza SP Tar'!$C:$C,'Plaza SP Tar'!I:I)</f>
        <v>2992804.119223983</v>
      </c>
      <c r="N109" s="1">
        <v>40000</v>
      </c>
      <c r="O109" s="1">
        <f>_xlfn.XLOOKUP($C109,'Plaza SP Tar'!$C:$C,'Plaza SP Tar'!J:J)</f>
        <v>3223019.8207027507</v>
      </c>
      <c r="P109" s="1">
        <v>45000</v>
      </c>
      <c r="Q109" s="1">
        <f>_xlfn.XLOOKUP($C109,'Plaza SP Tar'!$C:$C,'Plaza SP Tar'!K:K)</f>
        <v>3453235.5221815188</v>
      </c>
      <c r="R109">
        <v>50000</v>
      </c>
    </row>
    <row r="110" spans="1:18" x14ac:dyDescent="0.25">
      <c r="A110" t="s">
        <v>82</v>
      </c>
      <c r="B110" t="s">
        <v>112</v>
      </c>
      <c r="C110" t="s">
        <v>120</v>
      </c>
      <c r="D110" s="1">
        <v>5498374</v>
      </c>
      <c r="E110" s="1">
        <f>_xlfn.XLOOKUP($C110,'Plaza SP Tar'!$C:$C,'Plaza SP Tar'!E:E)</f>
        <v>6001651.2016317369</v>
      </c>
      <c r="F110" s="1">
        <v>10000</v>
      </c>
      <c r="G110" s="1">
        <f>_xlfn.XLOOKUP($C110,'Plaza SP Tar'!$C:$C,'Plaza SP Tar'!F:F)</f>
        <v>6859029.9447219847</v>
      </c>
      <c r="H110" s="1">
        <v>18000</v>
      </c>
      <c r="I110" s="1">
        <f>_xlfn.XLOOKUP($C110,'Plaza SP Tar'!$C:$C,'Plaza SP Tar'!G:G)</f>
        <v>7544932.9391941819</v>
      </c>
      <c r="J110" s="1">
        <v>25000</v>
      </c>
      <c r="K110" s="1">
        <f>_xlfn.XLOOKUP($C110,'Plaza SP Tar'!$C:$C,'Plaza SP Tar'!H:H)</f>
        <v>8230835.9336663811</v>
      </c>
      <c r="L110" s="1">
        <v>30000</v>
      </c>
      <c r="M110" s="1">
        <f>_xlfn.XLOOKUP($C110,'Plaza SP Tar'!$C:$C,'Plaza SP Tar'!I:I)</f>
        <v>8916738.9281385802</v>
      </c>
      <c r="N110" s="1">
        <v>40000</v>
      </c>
      <c r="O110" s="1">
        <f>_xlfn.XLOOKUP($C110,'Plaza SP Tar'!$C:$C,'Plaza SP Tar'!J:J)</f>
        <v>9602641.9226107784</v>
      </c>
      <c r="P110" s="1">
        <v>45000</v>
      </c>
      <c r="Q110" s="1">
        <f>_xlfn.XLOOKUP($C110,'Plaza SP Tar'!$C:$C,'Plaza SP Tar'!K:K)</f>
        <v>10288544.917082977</v>
      </c>
      <c r="R110">
        <v>50000</v>
      </c>
    </row>
    <row r="111" spans="1:18" x14ac:dyDescent="0.25">
      <c r="A111" t="s">
        <v>82</v>
      </c>
      <c r="B111" t="s">
        <v>112</v>
      </c>
      <c r="C111" t="s">
        <v>121</v>
      </c>
      <c r="D111" s="1">
        <v>8142427</v>
      </c>
      <c r="E111" s="1">
        <f>_xlfn.XLOOKUP($C111,'Plaza SP Tar'!$C:$C,'Plaza SP Tar'!E:E)</f>
        <v>8887719.6765350439</v>
      </c>
      <c r="F111" s="1">
        <v>10000</v>
      </c>
      <c r="G111" s="1">
        <f>_xlfn.XLOOKUP($C111,'Plaza SP Tar'!$C:$C,'Plaza SP Tar'!F:F)</f>
        <v>10157393.91604005</v>
      </c>
      <c r="H111" s="1">
        <v>18000</v>
      </c>
      <c r="I111" s="1">
        <f>_xlfn.XLOOKUP($C111,'Plaza SP Tar'!$C:$C,'Plaza SP Tar'!G:G)</f>
        <v>11173133.307644054</v>
      </c>
      <c r="J111" s="1">
        <v>25000</v>
      </c>
      <c r="K111" s="1">
        <f>_xlfn.XLOOKUP($C111,'Plaza SP Tar'!$C:$C,'Plaza SP Tar'!H:H)</f>
        <v>12188872.699248061</v>
      </c>
      <c r="L111" s="1">
        <v>30000</v>
      </c>
      <c r="M111" s="1">
        <f>_xlfn.XLOOKUP($C111,'Plaza SP Tar'!$C:$C,'Plaza SP Tar'!I:I)</f>
        <v>13204612.090852065</v>
      </c>
      <c r="N111" s="1">
        <v>40000</v>
      </c>
      <c r="O111" s="1">
        <f>_xlfn.XLOOKUP($C111,'Plaza SP Tar'!$C:$C,'Plaza SP Tar'!J:J)</f>
        <v>14220351.482456069</v>
      </c>
      <c r="P111" s="1">
        <v>45000</v>
      </c>
      <c r="Q111" s="1">
        <f>_xlfn.XLOOKUP($C111,'Plaza SP Tar'!$C:$C,'Plaza SP Tar'!K:K)</f>
        <v>15236090.874060074</v>
      </c>
      <c r="R111">
        <v>50000</v>
      </c>
    </row>
    <row r="112" spans="1:18" x14ac:dyDescent="0.25">
      <c r="A112" t="s">
        <v>82</v>
      </c>
      <c r="B112" t="s">
        <v>112</v>
      </c>
      <c r="C112" t="s">
        <v>122</v>
      </c>
      <c r="D112" s="1">
        <v>1700000</v>
      </c>
      <c r="E112" s="1">
        <f>_xlfn.XLOOKUP($C112,'Plaza SP Tar'!$C:$C,'Plaza SP Tar'!E:E)</f>
        <v>1855604.4100990498</v>
      </c>
      <c r="F112" s="1">
        <v>10000</v>
      </c>
      <c r="G112" s="1">
        <f>_xlfn.XLOOKUP($C112,'Plaza SP Tar'!$C:$C,'Plaza SP Tar'!F:F)</f>
        <v>2120690.7543989141</v>
      </c>
      <c r="H112" s="1">
        <v>18000</v>
      </c>
      <c r="I112" s="1">
        <f>_xlfn.XLOOKUP($C112,'Plaza SP Tar'!$C:$C,'Plaza SP Tar'!G:G)</f>
        <v>2332759.8298388049</v>
      </c>
      <c r="J112" s="1">
        <v>25000</v>
      </c>
      <c r="K112" s="1">
        <f>_xlfn.XLOOKUP($C112,'Plaza SP Tar'!$C:$C,'Plaza SP Tar'!H:H)</f>
        <v>2544828.9052786967</v>
      </c>
      <c r="L112" s="1">
        <v>30000</v>
      </c>
      <c r="M112" s="1">
        <f>_xlfn.XLOOKUP($C112,'Plaza SP Tar'!$C:$C,'Plaza SP Tar'!I:I)</f>
        <v>2756897.980718588</v>
      </c>
      <c r="N112" s="1">
        <v>40000</v>
      </c>
      <c r="O112" s="1">
        <f>_xlfn.XLOOKUP($C112,'Plaza SP Tar'!$C:$C,'Plaza SP Tar'!J:J)</f>
        <v>2968967.0561584793</v>
      </c>
      <c r="P112" s="1">
        <v>45000</v>
      </c>
      <c r="Q112" s="1">
        <f>_xlfn.XLOOKUP($C112,'Plaza SP Tar'!$C:$C,'Plaza SP Tar'!K:K)</f>
        <v>3181036.1315983706</v>
      </c>
      <c r="R112">
        <v>50000</v>
      </c>
    </row>
    <row r="113" spans="1:18" x14ac:dyDescent="0.25">
      <c r="A113" t="s">
        <v>82</v>
      </c>
      <c r="B113" t="s">
        <v>112</v>
      </c>
      <c r="C113" t="s">
        <v>123</v>
      </c>
      <c r="D113" s="1">
        <v>4319988</v>
      </c>
      <c r="E113" s="1">
        <f>_xlfn.XLOOKUP($C113,'Plaza SP Tar'!$C:$C,'Plaza SP Tar'!E:E)</f>
        <v>4715405.1672793962</v>
      </c>
      <c r="F113" s="1">
        <v>10000</v>
      </c>
      <c r="G113" s="1">
        <f>_xlfn.XLOOKUP($C113,'Plaza SP Tar'!$C:$C,'Plaza SP Tar'!F:F)</f>
        <v>5389034.4768907381</v>
      </c>
      <c r="H113" s="1">
        <v>18000</v>
      </c>
      <c r="I113" s="1">
        <f>_xlfn.XLOOKUP($C113,'Plaza SP Tar'!$C:$C,'Plaza SP Tar'!G:G)</f>
        <v>5927937.9245798113</v>
      </c>
      <c r="J113" s="1">
        <v>25000</v>
      </c>
      <c r="K113" s="1">
        <f>_xlfn.XLOOKUP($C113,'Plaza SP Tar'!$C:$C,'Plaza SP Tar'!H:H)</f>
        <v>6466841.3722688854</v>
      </c>
      <c r="L113" s="1">
        <v>30000</v>
      </c>
      <c r="M113" s="1">
        <f>_xlfn.XLOOKUP($C113,'Plaza SP Tar'!$C:$C,'Plaza SP Tar'!I:I)</f>
        <v>7005744.8199579604</v>
      </c>
      <c r="N113" s="1">
        <v>40000</v>
      </c>
      <c r="O113" s="1">
        <f>_xlfn.XLOOKUP($C113,'Plaza SP Tar'!$C:$C,'Plaza SP Tar'!J:J)</f>
        <v>7544648.2676470336</v>
      </c>
      <c r="P113" s="1">
        <v>45000</v>
      </c>
      <c r="Q113" s="1">
        <f>_xlfn.XLOOKUP($C113,'Plaza SP Tar'!$C:$C,'Plaza SP Tar'!K:K)</f>
        <v>8083551.7153361076</v>
      </c>
      <c r="R113">
        <v>50000</v>
      </c>
    </row>
    <row r="114" spans="1:18" x14ac:dyDescent="0.25">
      <c r="A114" t="s">
        <v>82</v>
      </c>
      <c r="B114" t="s">
        <v>112</v>
      </c>
      <c r="C114" t="s">
        <v>124</v>
      </c>
      <c r="D114" s="1">
        <v>2534642</v>
      </c>
      <c r="E114" s="1">
        <f>_xlfn.XLOOKUP($C114,'Plaza SP Tar'!$C:$C,'Plaza SP Tar'!E:E)</f>
        <v>2766642.8666013386</v>
      </c>
      <c r="F114" s="1">
        <v>10000</v>
      </c>
      <c r="G114" s="1">
        <f>_xlfn.XLOOKUP($C114,'Plaza SP Tar'!$C:$C,'Plaza SP Tar'!F:F)</f>
        <v>3161877.5618301011</v>
      </c>
      <c r="H114" s="1">
        <v>18000</v>
      </c>
      <c r="I114" s="1">
        <f>_xlfn.XLOOKUP($C114,'Plaza SP Tar'!$C:$C,'Plaza SP Tar'!G:G)</f>
        <v>3478065.3180131111</v>
      </c>
      <c r="J114" s="1">
        <v>25000</v>
      </c>
      <c r="K114" s="1">
        <f>_xlfn.XLOOKUP($C114,'Plaza SP Tar'!$C:$C,'Plaza SP Tar'!H:H)</f>
        <v>3794253.0741961212</v>
      </c>
      <c r="L114" s="1">
        <v>30000</v>
      </c>
      <c r="M114" s="1">
        <f>_xlfn.XLOOKUP($C114,'Plaza SP Tar'!$C:$C,'Plaza SP Tar'!I:I)</f>
        <v>4110440.8303791317</v>
      </c>
      <c r="N114" s="1">
        <v>40000</v>
      </c>
      <c r="O114" s="1">
        <f>_xlfn.XLOOKUP($C114,'Plaza SP Tar'!$C:$C,'Plaza SP Tar'!J:J)</f>
        <v>4426628.5865621408</v>
      </c>
      <c r="P114" s="1">
        <v>45000</v>
      </c>
      <c r="Q114" s="1">
        <f>_xlfn.XLOOKUP($C114,'Plaza SP Tar'!$C:$C,'Plaza SP Tar'!K:K)</f>
        <v>4742816.3427451514</v>
      </c>
      <c r="R114">
        <v>50000</v>
      </c>
    </row>
    <row r="115" spans="1:18" x14ac:dyDescent="0.25">
      <c r="A115" t="s">
        <v>82</v>
      </c>
      <c r="B115" t="s">
        <v>112</v>
      </c>
      <c r="C115" t="s">
        <v>125</v>
      </c>
      <c r="D115" s="1">
        <v>1700001</v>
      </c>
      <c r="E115" s="1">
        <f>_xlfn.XLOOKUP($C115,'Plaza SP Tar'!$C:$C,'Plaza SP Tar'!E:E)</f>
        <v>1855605.5016310557</v>
      </c>
      <c r="F115" s="1">
        <v>10000</v>
      </c>
      <c r="G115" s="1">
        <f>_xlfn.XLOOKUP($C115,'Plaza SP Tar'!$C:$C,'Plaza SP Tar'!F:F)</f>
        <v>2120692.0018640636</v>
      </c>
      <c r="H115" s="1">
        <v>18000</v>
      </c>
      <c r="I115" s="1">
        <f>_xlfn.XLOOKUP($C115,'Plaza SP Tar'!$C:$C,'Plaza SP Tar'!G:G)</f>
        <v>2332761.2020504698</v>
      </c>
      <c r="J115" s="1">
        <v>25000</v>
      </c>
      <c r="K115" s="1">
        <f>_xlfn.XLOOKUP($C115,'Plaza SP Tar'!$C:$C,'Plaza SP Tar'!H:H)</f>
        <v>2544830.4022368761</v>
      </c>
      <c r="L115" s="1">
        <v>30000</v>
      </c>
      <c r="M115" s="1">
        <f>_xlfn.XLOOKUP($C115,'Plaza SP Tar'!$C:$C,'Plaza SP Tar'!I:I)</f>
        <v>2756899.6024232828</v>
      </c>
      <c r="N115" s="1">
        <v>40000</v>
      </c>
      <c r="O115" s="1">
        <f>_xlfn.XLOOKUP($C115,'Plaza SP Tar'!$C:$C,'Plaza SP Tar'!J:J)</f>
        <v>2968968.8026096886</v>
      </c>
      <c r="P115" s="1">
        <v>45000</v>
      </c>
      <c r="Q115" s="1">
        <f>_xlfn.XLOOKUP($C115,'Plaza SP Tar'!$C:$C,'Plaza SP Tar'!K:K)</f>
        <v>3181038.0027960953</v>
      </c>
      <c r="R115">
        <v>50000</v>
      </c>
    </row>
    <row r="116" spans="1:18" x14ac:dyDescent="0.25">
      <c r="A116" t="s">
        <v>82</v>
      </c>
      <c r="B116" t="s">
        <v>126</v>
      </c>
      <c r="C116" t="s">
        <v>127</v>
      </c>
      <c r="D116" s="1">
        <v>9136220</v>
      </c>
      <c r="E116" s="1">
        <f>_xlfn.XLOOKUP($C116,'Plaza SP Tar'!$C:$C,'Plaza SP Tar'!E:E)</f>
        <v>9972476.5433147885</v>
      </c>
      <c r="F116" s="1">
        <v>10000</v>
      </c>
      <c r="G116" s="1">
        <f>_xlfn.XLOOKUP($C116,'Plaza SP Tar'!$C:$C,'Plaza SP Tar'!F:F)</f>
        <v>11397116.049502615</v>
      </c>
      <c r="H116" s="1">
        <v>18000</v>
      </c>
      <c r="I116" s="1">
        <f>_xlfn.XLOOKUP($C116,'Plaza SP Tar'!$C:$C,'Plaza SP Tar'!G:G)</f>
        <v>12536827.654452875</v>
      </c>
      <c r="J116" s="1">
        <v>25000</v>
      </c>
      <c r="K116" s="1">
        <f>_xlfn.XLOOKUP($C116,'Plaza SP Tar'!$C:$C,'Plaza SP Tar'!H:H)</f>
        <v>13676539.259403137</v>
      </c>
      <c r="L116" s="1">
        <v>30000</v>
      </c>
      <c r="M116" s="1">
        <f>_xlfn.XLOOKUP($C116,'Plaza SP Tar'!$C:$C,'Plaza SP Tar'!I:I)</f>
        <v>14816250.8643534</v>
      </c>
      <c r="N116" s="1">
        <v>40000</v>
      </c>
      <c r="O116" s="1">
        <f>_xlfn.XLOOKUP($C116,'Plaza SP Tar'!$C:$C,'Plaza SP Tar'!J:J)</f>
        <v>15955962.46930366</v>
      </c>
      <c r="P116" s="1">
        <v>45000</v>
      </c>
      <c r="Q116" s="1">
        <f>_xlfn.XLOOKUP($C116,'Plaza SP Tar'!$C:$C,'Plaza SP Tar'!K:K)</f>
        <v>17095674.07425392</v>
      </c>
      <c r="R116">
        <v>50000</v>
      </c>
    </row>
    <row r="117" spans="1:18" x14ac:dyDescent="0.25">
      <c r="A117" t="s">
        <v>82</v>
      </c>
      <c r="B117" t="s">
        <v>126</v>
      </c>
      <c r="C117" t="s">
        <v>128</v>
      </c>
      <c r="D117" s="1">
        <v>2765266</v>
      </c>
      <c r="E117" s="1">
        <f>_xlfn.XLOOKUP($C117,'Plaza SP Tar'!$C:$C,'Plaza SP Tar'!E:E)</f>
        <v>3018376.3439393877</v>
      </c>
      <c r="F117" s="1">
        <v>10000</v>
      </c>
      <c r="G117" s="1">
        <f>_xlfn.XLOOKUP($C117,'Plaza SP Tar'!$C:$C,'Plaza SP Tar'!F:F)</f>
        <v>3449572.9645021572</v>
      </c>
      <c r="H117" s="1">
        <v>18000</v>
      </c>
      <c r="I117" s="1">
        <f>_xlfn.XLOOKUP($C117,'Plaza SP Tar'!$C:$C,'Plaza SP Tar'!G:G)</f>
        <v>3794530.2609523726</v>
      </c>
      <c r="J117" s="1">
        <v>25000</v>
      </c>
      <c r="K117" s="1">
        <f>_xlfn.XLOOKUP($C117,'Plaza SP Tar'!$C:$C,'Plaza SP Tar'!H:H)</f>
        <v>4139487.5574025884</v>
      </c>
      <c r="L117" s="1">
        <v>30000</v>
      </c>
      <c r="M117" s="1">
        <f>_xlfn.XLOOKUP($C117,'Plaza SP Tar'!$C:$C,'Plaza SP Tar'!I:I)</f>
        <v>4484444.8538528038</v>
      </c>
      <c r="N117" s="1">
        <v>40000</v>
      </c>
      <c r="O117" s="1">
        <f>_xlfn.XLOOKUP($C117,'Plaza SP Tar'!$C:$C,'Plaza SP Tar'!J:J)</f>
        <v>4829402.1503030192</v>
      </c>
      <c r="P117" s="1">
        <v>45000</v>
      </c>
      <c r="Q117" s="1">
        <f>_xlfn.XLOOKUP($C117,'Plaza SP Tar'!$C:$C,'Plaza SP Tar'!K:K)</f>
        <v>5174359.4467532355</v>
      </c>
      <c r="R117">
        <v>50000</v>
      </c>
    </row>
    <row r="118" spans="1:18" x14ac:dyDescent="0.25">
      <c r="A118" t="s">
        <v>82</v>
      </c>
      <c r="B118" t="s">
        <v>126</v>
      </c>
      <c r="C118" t="s">
        <v>129</v>
      </c>
      <c r="D118" s="1">
        <v>2417182</v>
      </c>
      <c r="E118" s="1">
        <f>_xlfn.XLOOKUP($C118,'Plaza SP Tar'!$C:$C,'Plaza SP Tar'!E:E)</f>
        <v>2638431.5171835539</v>
      </c>
      <c r="F118" s="1">
        <v>10000</v>
      </c>
      <c r="G118" s="1">
        <f>_xlfn.XLOOKUP($C118,'Plaza SP Tar'!$C:$C,'Plaza SP Tar'!F:F)</f>
        <v>3015350.3053526329</v>
      </c>
      <c r="H118" s="1">
        <v>18000</v>
      </c>
      <c r="I118" s="1">
        <f>_xlfn.XLOOKUP($C118,'Plaza SP Tar'!$C:$C,'Plaza SP Tar'!G:G)</f>
        <v>3316885.3358878954</v>
      </c>
      <c r="J118" s="1">
        <v>25000</v>
      </c>
      <c r="K118" s="1">
        <f>_xlfn.XLOOKUP($C118,'Plaza SP Tar'!$C:$C,'Plaza SP Tar'!H:H)</f>
        <v>3618420.3664231589</v>
      </c>
      <c r="L118" s="1">
        <v>30000</v>
      </c>
      <c r="M118" s="1">
        <f>_xlfn.XLOOKUP($C118,'Plaza SP Tar'!$C:$C,'Plaza SP Tar'!I:I)</f>
        <v>3919955.3969584224</v>
      </c>
      <c r="N118" s="1">
        <v>40000</v>
      </c>
      <c r="O118" s="1">
        <f>_xlfn.XLOOKUP($C118,'Plaza SP Tar'!$C:$C,'Plaza SP Tar'!J:J)</f>
        <v>4221490.4274936849</v>
      </c>
      <c r="P118" s="1">
        <v>45000</v>
      </c>
      <c r="Q118" s="1">
        <f>_xlfn.XLOOKUP($C118,'Plaza SP Tar'!$C:$C,'Plaza SP Tar'!K:K)</f>
        <v>4523025.4580289489</v>
      </c>
      <c r="R118">
        <v>50000</v>
      </c>
    </row>
    <row r="119" spans="1:18" x14ac:dyDescent="0.25">
      <c r="A119" t="s">
        <v>82</v>
      </c>
      <c r="B119" t="s">
        <v>126</v>
      </c>
      <c r="C119" t="s">
        <v>130</v>
      </c>
      <c r="D119" s="1">
        <v>5315338</v>
      </c>
      <c r="E119" s="1">
        <f>_xlfn.XLOOKUP($C119,'Plaza SP Tar'!$C:$C,'Plaza SP Tar'!E:E)</f>
        <v>5801861.5493923901</v>
      </c>
      <c r="F119" s="1">
        <v>10000</v>
      </c>
      <c r="G119" s="1">
        <f>_xlfn.XLOOKUP($C119,'Plaza SP Tar'!$C:$C,'Plaza SP Tar'!F:F)</f>
        <v>6630698.9135913029</v>
      </c>
      <c r="H119" s="1">
        <v>18000</v>
      </c>
      <c r="I119" s="1">
        <f>_xlfn.XLOOKUP($C119,'Plaza SP Tar'!$C:$C,'Plaza SP Tar'!G:G)</f>
        <v>7293768.8049504319</v>
      </c>
      <c r="J119" s="1">
        <v>25000</v>
      </c>
      <c r="K119" s="1">
        <f>_xlfn.XLOOKUP($C119,'Plaza SP Tar'!$C:$C,'Plaza SP Tar'!H:H)</f>
        <v>7956838.6963095628</v>
      </c>
      <c r="L119" s="1">
        <v>30000</v>
      </c>
      <c r="M119" s="1">
        <f>_xlfn.XLOOKUP($C119,'Plaza SP Tar'!$C:$C,'Plaza SP Tar'!I:I)</f>
        <v>8619908.5876686927</v>
      </c>
      <c r="N119" s="1">
        <v>40000</v>
      </c>
      <c r="O119" s="1">
        <f>_xlfn.XLOOKUP($C119,'Plaza SP Tar'!$C:$C,'Plaza SP Tar'!J:J)</f>
        <v>9282978.4790278226</v>
      </c>
      <c r="P119" s="1">
        <v>45000</v>
      </c>
      <c r="Q119" s="1">
        <f>_xlfn.XLOOKUP($C119,'Plaza SP Tar'!$C:$C,'Plaza SP Tar'!K:K)</f>
        <v>9946048.3703869525</v>
      </c>
      <c r="R119">
        <v>50000</v>
      </c>
    </row>
    <row r="120" spans="1:18" x14ac:dyDescent="0.25">
      <c r="A120" t="s">
        <v>82</v>
      </c>
      <c r="B120" t="s">
        <v>126</v>
      </c>
      <c r="C120" t="s">
        <v>131</v>
      </c>
      <c r="D120" s="1">
        <v>8022356</v>
      </c>
      <c r="E120" s="1">
        <f>_xlfn.XLOOKUP($C120,'Plaza SP Tar'!$C:$C,'Plaza SP Tar'!E:E)</f>
        <v>8756658.3370497487</v>
      </c>
      <c r="F120" s="1">
        <v>10000</v>
      </c>
      <c r="G120" s="1">
        <f>_xlfn.XLOOKUP($C120,'Plaza SP Tar'!$C:$C,'Plaza SP Tar'!F:F)</f>
        <v>10007609.528056854</v>
      </c>
      <c r="H120" s="1">
        <v>18000</v>
      </c>
      <c r="I120" s="1">
        <f>_xlfn.XLOOKUP($C120,'Plaza SP Tar'!$C:$C,'Plaza SP Tar'!G:G)</f>
        <v>11008370.480862539</v>
      </c>
      <c r="J120" s="1">
        <v>25000</v>
      </c>
      <c r="K120" s="1">
        <f>_xlfn.XLOOKUP($C120,'Plaza SP Tar'!$C:$C,'Plaza SP Tar'!H:H)</f>
        <v>12009131.433668226</v>
      </c>
      <c r="L120" s="1">
        <v>30000</v>
      </c>
      <c r="M120" s="1">
        <f>_xlfn.XLOOKUP($C120,'Plaza SP Tar'!$C:$C,'Plaza SP Tar'!I:I)</f>
        <v>13009892.386473911</v>
      </c>
      <c r="N120" s="1">
        <v>40000</v>
      </c>
      <c r="O120" s="1">
        <f>_xlfn.XLOOKUP($C120,'Plaza SP Tar'!$C:$C,'Plaza SP Tar'!J:J)</f>
        <v>14010653.339279596</v>
      </c>
      <c r="P120" s="1">
        <v>45000</v>
      </c>
      <c r="Q120" s="1">
        <f>_xlfn.XLOOKUP($C120,'Plaza SP Tar'!$C:$C,'Plaza SP Tar'!K:K)</f>
        <v>15011414.292085283</v>
      </c>
      <c r="R120">
        <v>50000</v>
      </c>
    </row>
    <row r="121" spans="1:18" x14ac:dyDescent="0.25">
      <c r="A121" t="s">
        <v>82</v>
      </c>
      <c r="B121" t="s">
        <v>126</v>
      </c>
      <c r="C121" t="s">
        <v>132</v>
      </c>
      <c r="D121" s="1">
        <v>4029128</v>
      </c>
      <c r="E121" s="1">
        <f>_xlfn.XLOOKUP($C121,'Plaza SP Tar'!$C:$C,'Plaza SP Tar'!E:E)</f>
        <v>4397922.1680315081</v>
      </c>
      <c r="F121" s="1">
        <v>10000</v>
      </c>
      <c r="G121" s="1">
        <f>_xlfn.XLOOKUP($C121,'Plaza SP Tar'!$C:$C,'Plaza SP Tar'!F:F)</f>
        <v>5026196.7634645812</v>
      </c>
      <c r="H121" s="1">
        <v>18000</v>
      </c>
      <c r="I121" s="1">
        <f>_xlfn.XLOOKUP($C121,'Plaza SP Tar'!$C:$C,'Plaza SP Tar'!G:G)</f>
        <v>5528816.4398110379</v>
      </c>
      <c r="J121" s="1">
        <v>25000</v>
      </c>
      <c r="K121" s="1">
        <f>_xlfn.XLOOKUP($C121,'Plaza SP Tar'!$C:$C,'Plaza SP Tar'!H:H)</f>
        <v>6031436.1161574963</v>
      </c>
      <c r="L121" s="1">
        <v>30000</v>
      </c>
      <c r="M121" s="1">
        <f>_xlfn.XLOOKUP($C121,'Plaza SP Tar'!$C:$C,'Plaza SP Tar'!I:I)</f>
        <v>6534055.7925039548</v>
      </c>
      <c r="N121" s="1">
        <v>40000</v>
      </c>
      <c r="O121" s="1">
        <f>_xlfn.XLOOKUP($C121,'Plaza SP Tar'!$C:$C,'Plaza SP Tar'!J:J)</f>
        <v>7036675.4688504124</v>
      </c>
      <c r="P121" s="1">
        <v>45000</v>
      </c>
      <c r="Q121" s="1">
        <f>_xlfn.XLOOKUP($C121,'Plaza SP Tar'!$C:$C,'Plaza SP Tar'!K:K)</f>
        <v>7539295.1451968709</v>
      </c>
      <c r="R121">
        <v>50000</v>
      </c>
    </row>
    <row r="122" spans="1:18" x14ac:dyDescent="0.25">
      <c r="A122" t="s">
        <v>82</v>
      </c>
      <c r="B122" t="s">
        <v>126</v>
      </c>
      <c r="C122" t="s">
        <v>133</v>
      </c>
      <c r="D122" s="1">
        <v>10170241</v>
      </c>
      <c r="E122" s="1">
        <f>_xlfn.XLOOKUP($C122,'Plaza SP Tar'!$C:$C,'Plaza SP Tar'!E:E)</f>
        <v>11101143.559629511</v>
      </c>
      <c r="F122" s="1">
        <v>10000</v>
      </c>
      <c r="G122" s="1">
        <f>_xlfn.XLOOKUP($C122,'Plaza SP Tar'!$C:$C,'Plaza SP Tar'!F:F)</f>
        <v>12687021.211005155</v>
      </c>
      <c r="H122" s="1">
        <v>18000</v>
      </c>
      <c r="I122" s="1">
        <f>_xlfn.XLOOKUP($C122,'Plaza SP Tar'!$C:$C,'Plaza SP Tar'!G:G)</f>
        <v>13955723.33210567</v>
      </c>
      <c r="J122" s="1">
        <v>25000</v>
      </c>
      <c r="K122" s="1">
        <f>_xlfn.XLOOKUP($C122,'Plaza SP Tar'!$C:$C,'Plaza SP Tar'!H:H)</f>
        <v>15224425.453206185</v>
      </c>
      <c r="L122" s="1">
        <v>30000</v>
      </c>
      <c r="M122" s="1">
        <f>_xlfn.XLOOKUP($C122,'Plaza SP Tar'!$C:$C,'Plaza SP Tar'!I:I)</f>
        <v>16493127.574306702</v>
      </c>
      <c r="N122" s="1">
        <v>40000</v>
      </c>
      <c r="O122" s="1">
        <f>_xlfn.XLOOKUP($C122,'Plaza SP Tar'!$C:$C,'Plaza SP Tar'!J:J)</f>
        <v>17761829.695407216</v>
      </c>
      <c r="P122" s="1">
        <v>45000</v>
      </c>
      <c r="Q122" s="1">
        <f>_xlfn.XLOOKUP($C122,'Plaza SP Tar'!$C:$C,'Plaza SP Tar'!K:K)</f>
        <v>19030531.816507734</v>
      </c>
      <c r="R122">
        <v>50000</v>
      </c>
    </row>
    <row r="123" spans="1:18" x14ac:dyDescent="0.25">
      <c r="A123" t="s">
        <v>82</v>
      </c>
      <c r="B123" t="s">
        <v>126</v>
      </c>
      <c r="C123" t="s">
        <v>134</v>
      </c>
      <c r="D123" s="1">
        <v>2307475</v>
      </c>
      <c r="E123" s="1">
        <f>_xlfn.XLOOKUP($C123,'Plaza SP Tar'!$C:$C,'Plaza SP Tar'!E:E)</f>
        <v>2518682.8154078266</v>
      </c>
      <c r="F123" s="1">
        <v>10000</v>
      </c>
      <c r="G123" s="1">
        <f>_xlfn.XLOOKUP($C123,'Plaza SP Tar'!$C:$C,'Plaza SP Tar'!F:F)</f>
        <v>2878494.6461803727</v>
      </c>
      <c r="H123" s="1">
        <v>18000</v>
      </c>
      <c r="I123" s="1">
        <f>_xlfn.XLOOKUP($C123,'Plaza SP Tar'!$C:$C,'Plaza SP Tar'!G:G)</f>
        <v>3166344.1107984097</v>
      </c>
      <c r="J123" s="1">
        <v>25000</v>
      </c>
      <c r="K123" s="1">
        <f>_xlfn.XLOOKUP($C123,'Plaza SP Tar'!$C:$C,'Plaza SP Tar'!H:H)</f>
        <v>3454193.5754164471</v>
      </c>
      <c r="L123" s="1">
        <v>30000</v>
      </c>
      <c r="M123" s="1">
        <f>_xlfn.XLOOKUP($C123,'Plaza SP Tar'!$C:$C,'Plaza SP Tar'!I:I)</f>
        <v>3742043.0400344846</v>
      </c>
      <c r="N123" s="1">
        <v>40000</v>
      </c>
      <c r="O123" s="1">
        <f>_xlfn.XLOOKUP($C123,'Plaza SP Tar'!$C:$C,'Plaza SP Tar'!J:J)</f>
        <v>4029892.5046525216</v>
      </c>
      <c r="P123" s="1">
        <v>45000</v>
      </c>
      <c r="Q123" s="1">
        <f>_xlfn.XLOOKUP($C123,'Plaza SP Tar'!$C:$C,'Plaza SP Tar'!K:K)</f>
        <v>4317741.969270559</v>
      </c>
      <c r="R123">
        <v>50000</v>
      </c>
    </row>
    <row r="124" spans="1:18" x14ac:dyDescent="0.25">
      <c r="A124" t="s">
        <v>82</v>
      </c>
      <c r="B124" t="s">
        <v>126</v>
      </c>
      <c r="C124" t="s">
        <v>135</v>
      </c>
      <c r="D124" s="1">
        <v>3807066</v>
      </c>
      <c r="E124" s="1">
        <f>_xlfn.XLOOKUP($C124,'Plaza SP Tar'!$C:$C,'Plaza SP Tar'!E:E)</f>
        <v>4155534.3877283228</v>
      </c>
      <c r="F124" s="1">
        <v>10000</v>
      </c>
      <c r="G124" s="1">
        <f>_xlfn.XLOOKUP($C124,'Plaza SP Tar'!$C:$C,'Plaza SP Tar'!F:F)</f>
        <v>4749182.1574037978</v>
      </c>
      <c r="H124" s="1">
        <v>18000</v>
      </c>
      <c r="I124" s="1">
        <f>_xlfn.XLOOKUP($C124,'Plaza SP Tar'!$C:$C,'Plaza SP Tar'!G:G)</f>
        <v>5224100.3731441768</v>
      </c>
      <c r="J124" s="1">
        <v>25000</v>
      </c>
      <c r="K124" s="1">
        <f>_xlfn.XLOOKUP($C124,'Plaza SP Tar'!$C:$C,'Plaza SP Tar'!H:H)</f>
        <v>5699018.5888845567</v>
      </c>
      <c r="L124" s="1">
        <v>30000</v>
      </c>
      <c r="M124" s="1">
        <f>_xlfn.XLOOKUP($C124,'Plaza SP Tar'!$C:$C,'Plaza SP Tar'!I:I)</f>
        <v>6173936.8046249365</v>
      </c>
      <c r="N124" s="1">
        <v>40000</v>
      </c>
      <c r="O124" s="1">
        <f>_xlfn.XLOOKUP($C124,'Plaza SP Tar'!$C:$C,'Plaza SP Tar'!J:J)</f>
        <v>6648855.0203653155</v>
      </c>
      <c r="P124" s="1">
        <v>45000</v>
      </c>
      <c r="Q124" s="1">
        <f>_xlfn.XLOOKUP($C124,'Plaza SP Tar'!$C:$C,'Plaza SP Tar'!K:K)</f>
        <v>7123773.2361056954</v>
      </c>
      <c r="R124">
        <v>50000</v>
      </c>
    </row>
    <row r="125" spans="1:18" x14ac:dyDescent="0.25">
      <c r="A125" t="s">
        <v>82</v>
      </c>
      <c r="B125" t="s">
        <v>126</v>
      </c>
      <c r="C125" t="s">
        <v>136</v>
      </c>
      <c r="D125" s="1">
        <v>7708850</v>
      </c>
      <c r="E125" s="1">
        <f>_xlfn.XLOOKUP($C125,'Plaza SP Tar'!$C:$C,'Plaza SP Tar'!E:E)</f>
        <v>8414456.5039953291</v>
      </c>
      <c r="F125" s="1">
        <v>10000</v>
      </c>
      <c r="G125" s="1">
        <f>_xlfn.XLOOKUP($C125,'Plaza SP Tar'!$C:$C,'Plaza SP Tar'!F:F)</f>
        <v>9616521.7188518047</v>
      </c>
      <c r="H125" s="1">
        <v>18000</v>
      </c>
      <c r="I125" s="1">
        <f>_xlfn.XLOOKUP($C125,'Plaza SP Tar'!$C:$C,'Plaza SP Tar'!G:G)</f>
        <v>10578173.890736984</v>
      </c>
      <c r="J125" s="1">
        <v>25000</v>
      </c>
      <c r="K125" s="1">
        <f>_xlfn.XLOOKUP($C125,'Plaza SP Tar'!$C:$C,'Plaza SP Tar'!H:H)</f>
        <v>11539826.062622165</v>
      </c>
      <c r="L125" s="1">
        <v>30000</v>
      </c>
      <c r="M125" s="1">
        <f>_xlfn.XLOOKUP($C125,'Plaza SP Tar'!$C:$C,'Plaza SP Tar'!I:I)</f>
        <v>12501478.234507347</v>
      </c>
      <c r="N125" s="1">
        <v>40000</v>
      </c>
      <c r="O125" s="1">
        <f>_xlfn.XLOOKUP($C125,'Plaza SP Tar'!$C:$C,'Plaza SP Tar'!J:J)</f>
        <v>13463130.406392526</v>
      </c>
      <c r="P125" s="1">
        <v>45000</v>
      </c>
      <c r="Q125" s="1">
        <f>_xlfn.XLOOKUP($C125,'Plaza SP Tar'!$C:$C,'Plaza SP Tar'!K:K)</f>
        <v>14424782.578277705</v>
      </c>
      <c r="R125">
        <v>50000</v>
      </c>
    </row>
    <row r="126" spans="1:18" x14ac:dyDescent="0.25">
      <c r="A126" t="s">
        <v>82</v>
      </c>
      <c r="B126" t="s">
        <v>137</v>
      </c>
      <c r="C126" t="s">
        <v>138</v>
      </c>
      <c r="D126" s="1">
        <v>11254629</v>
      </c>
      <c r="E126" s="1">
        <f>_xlfn.XLOOKUP($C126,'Plaza SP Tar'!$C:$C,'Plaza SP Tar'!E:E)</f>
        <v>12284787.768487446</v>
      </c>
      <c r="F126" s="1">
        <v>10000</v>
      </c>
      <c r="G126" s="1">
        <f>_xlfn.XLOOKUP($C126,'Plaza SP Tar'!$C:$C,'Plaza SP Tar'!F:F)</f>
        <v>14039757.449699938</v>
      </c>
      <c r="H126" s="1">
        <v>18000</v>
      </c>
      <c r="I126" s="1">
        <f>_xlfn.XLOOKUP($C126,'Plaza SP Tar'!$C:$C,'Plaza SP Tar'!G:G)</f>
        <v>15443733.19466993</v>
      </c>
      <c r="J126" s="1">
        <v>25000</v>
      </c>
      <c r="K126" s="1">
        <f>_xlfn.XLOOKUP($C126,'Plaza SP Tar'!$C:$C,'Plaza SP Tar'!H:H)</f>
        <v>16847708.939639926</v>
      </c>
      <c r="L126" s="1">
        <v>30000</v>
      </c>
      <c r="M126" s="1">
        <f>_xlfn.XLOOKUP($C126,'Plaza SP Tar'!$C:$C,'Plaza SP Tar'!I:I)</f>
        <v>18251684.68460992</v>
      </c>
      <c r="N126" s="1">
        <v>40000</v>
      </c>
      <c r="O126" s="1">
        <f>_xlfn.XLOOKUP($C126,'Plaza SP Tar'!$C:$C,'Plaza SP Tar'!J:J)</f>
        <v>19655660.42957991</v>
      </c>
      <c r="P126" s="1">
        <v>45000</v>
      </c>
      <c r="Q126" s="1">
        <f>_xlfn.XLOOKUP($C126,'Plaza SP Tar'!$C:$C,'Plaza SP Tar'!K:K)</f>
        <v>21059636.174549907</v>
      </c>
      <c r="R126">
        <v>50000</v>
      </c>
    </row>
    <row r="127" spans="1:18" x14ac:dyDescent="0.25">
      <c r="A127" t="s">
        <v>82</v>
      </c>
      <c r="B127" t="s">
        <v>137</v>
      </c>
      <c r="C127" t="s">
        <v>139</v>
      </c>
      <c r="D127" s="1">
        <v>10702582</v>
      </c>
      <c r="E127" s="1">
        <f>_xlfn.XLOOKUP($C127,'Plaza SP Tar'!$C:$C,'Plaza SP Tar'!E:E)</f>
        <v>11682210.799203945</v>
      </c>
      <c r="F127" s="1">
        <v>10000</v>
      </c>
      <c r="G127" s="1">
        <f>_xlfn.XLOOKUP($C127,'Plaza SP Tar'!$C:$C,'Plaza SP Tar'!F:F)</f>
        <v>13351098.05623308</v>
      </c>
      <c r="H127" s="1">
        <v>18000</v>
      </c>
      <c r="I127" s="1">
        <f>_xlfn.XLOOKUP($C127,'Plaza SP Tar'!$C:$C,'Plaza SP Tar'!G:G)</f>
        <v>14686207.861856388</v>
      </c>
      <c r="J127" s="1">
        <v>25000</v>
      </c>
      <c r="K127" s="1">
        <f>_xlfn.XLOOKUP($C127,'Plaza SP Tar'!$C:$C,'Plaza SP Tar'!H:H)</f>
        <v>16021317.667479696</v>
      </c>
      <c r="L127" s="1">
        <v>30000</v>
      </c>
      <c r="M127" s="1">
        <f>_xlfn.XLOOKUP($C127,'Plaza SP Tar'!$C:$C,'Plaza SP Tar'!I:I)</f>
        <v>17356427.473103005</v>
      </c>
      <c r="N127" s="1">
        <v>40000</v>
      </c>
      <c r="O127" s="1">
        <f>_xlfn.XLOOKUP($C127,'Plaza SP Tar'!$C:$C,'Plaza SP Tar'!J:J)</f>
        <v>18691537.27872631</v>
      </c>
      <c r="P127" s="1">
        <v>45000</v>
      </c>
      <c r="Q127" s="1">
        <f>_xlfn.XLOOKUP($C127,'Plaza SP Tar'!$C:$C,'Plaza SP Tar'!K:K)</f>
        <v>20026647.084349621</v>
      </c>
      <c r="R127">
        <v>50000</v>
      </c>
    </row>
    <row r="128" spans="1:18" x14ac:dyDescent="0.25">
      <c r="A128" t="s">
        <v>82</v>
      </c>
      <c r="B128" t="s">
        <v>137</v>
      </c>
      <c r="C128" t="s">
        <v>140</v>
      </c>
      <c r="D128" s="1">
        <v>2983291</v>
      </c>
      <c r="E128" s="1">
        <f>_xlfn.XLOOKUP($C128,'Plaza SP Tar'!$C:$C,'Plaza SP Tar'!E:E)</f>
        <v>3256357.6095345905</v>
      </c>
      <c r="F128" s="1">
        <v>10000</v>
      </c>
      <c r="G128" s="1">
        <f>_xlfn.XLOOKUP($C128,'Plaza SP Tar'!$C:$C,'Plaza SP Tar'!F:F)</f>
        <v>3721551.5537538179</v>
      </c>
      <c r="H128" s="1">
        <v>18000</v>
      </c>
      <c r="I128" s="1">
        <f>_xlfn.XLOOKUP($C128,'Plaza SP Tar'!$C:$C,'Plaza SP Tar'!G:G)</f>
        <v>4093706.7091291994</v>
      </c>
      <c r="J128" s="1">
        <v>25000</v>
      </c>
      <c r="K128" s="1">
        <f>_xlfn.XLOOKUP($C128,'Plaza SP Tar'!$C:$C,'Plaza SP Tar'!H:H)</f>
        <v>4465861.8645045813</v>
      </c>
      <c r="L128" s="1">
        <v>30000</v>
      </c>
      <c r="M128" s="1">
        <f>_xlfn.XLOOKUP($C128,'Plaza SP Tar'!$C:$C,'Plaza SP Tar'!I:I)</f>
        <v>4838017.0198799632</v>
      </c>
      <c r="N128" s="1">
        <v>40000</v>
      </c>
      <c r="O128" s="1">
        <f>_xlfn.XLOOKUP($C128,'Plaza SP Tar'!$C:$C,'Plaza SP Tar'!J:J)</f>
        <v>5210172.1752553442</v>
      </c>
      <c r="P128" s="1">
        <v>45000</v>
      </c>
      <c r="Q128" s="1">
        <f>_xlfn.XLOOKUP($C128,'Plaza SP Tar'!$C:$C,'Plaza SP Tar'!K:K)</f>
        <v>5582327.3306307262</v>
      </c>
      <c r="R128">
        <v>50000</v>
      </c>
    </row>
    <row r="129" spans="1:18" x14ac:dyDescent="0.25">
      <c r="A129" t="s">
        <v>82</v>
      </c>
      <c r="B129" t="s">
        <v>137</v>
      </c>
      <c r="C129" t="s">
        <v>141</v>
      </c>
      <c r="D129" s="1">
        <v>2997169</v>
      </c>
      <c r="E129" s="1">
        <f>_xlfn.XLOOKUP($C129,'Plaza SP Tar'!$C:$C,'Plaza SP Tar'!E:E)</f>
        <v>3271505.8907130347</v>
      </c>
      <c r="F129" s="1">
        <v>10000</v>
      </c>
      <c r="G129" s="1">
        <f>_xlfn.XLOOKUP($C129,'Plaza SP Tar'!$C:$C,'Plaza SP Tar'!F:F)</f>
        <v>3738863.8751006108</v>
      </c>
      <c r="H129" s="1">
        <v>18000</v>
      </c>
      <c r="I129" s="1">
        <f>_xlfn.XLOOKUP($C129,'Plaza SP Tar'!$C:$C,'Plaza SP Tar'!G:G)</f>
        <v>4112750.2626106716</v>
      </c>
      <c r="J129" s="1">
        <v>25000</v>
      </c>
      <c r="K129" s="1">
        <f>_xlfn.XLOOKUP($C129,'Plaza SP Tar'!$C:$C,'Plaza SP Tar'!H:H)</f>
        <v>4486636.6501207324</v>
      </c>
      <c r="L129" s="1">
        <v>30000</v>
      </c>
      <c r="M129" s="1">
        <f>_xlfn.XLOOKUP($C129,'Plaza SP Tar'!$C:$C,'Plaza SP Tar'!I:I)</f>
        <v>4860523.0376307936</v>
      </c>
      <c r="N129" s="1">
        <v>40000</v>
      </c>
      <c r="O129" s="1">
        <f>_xlfn.XLOOKUP($C129,'Plaza SP Tar'!$C:$C,'Plaza SP Tar'!J:J)</f>
        <v>5234409.4251408549</v>
      </c>
      <c r="P129" s="1">
        <v>45000</v>
      </c>
      <c r="Q129" s="1">
        <f>_xlfn.XLOOKUP($C129,'Plaza SP Tar'!$C:$C,'Plaza SP Tar'!K:K)</f>
        <v>5608295.8126509162</v>
      </c>
      <c r="R129">
        <v>50000</v>
      </c>
    </row>
    <row r="130" spans="1:18" x14ac:dyDescent="0.25">
      <c r="A130" t="s">
        <v>82</v>
      </c>
      <c r="B130" t="s">
        <v>137</v>
      </c>
      <c r="C130" t="s">
        <v>142</v>
      </c>
      <c r="D130" s="1">
        <v>8544123</v>
      </c>
      <c r="E130" s="1">
        <f>_xlfn.XLOOKUP($C130,'Plaza SP Tar'!$C:$C,'Plaza SP Tar'!E:E)</f>
        <v>9326183.717193367</v>
      </c>
      <c r="F130" s="1">
        <v>10000</v>
      </c>
      <c r="G130" s="1">
        <f>_xlfn.XLOOKUP($C130,'Plaza SP Tar'!$C:$C,'Plaza SP Tar'!F:F)</f>
        <v>10658495.676792419</v>
      </c>
      <c r="H130" s="1">
        <v>18000</v>
      </c>
      <c r="I130" s="1">
        <f>_xlfn.XLOOKUP($C130,'Plaza SP Tar'!$C:$C,'Plaza SP Tar'!G:G)</f>
        <v>11724345.24447166</v>
      </c>
      <c r="J130" s="1">
        <v>25000</v>
      </c>
      <c r="K130" s="1">
        <f>_xlfn.XLOOKUP($C130,'Plaza SP Tar'!$C:$C,'Plaza SP Tar'!H:H)</f>
        <v>12790194.812150901</v>
      </c>
      <c r="L130" s="1">
        <v>30000</v>
      </c>
      <c r="M130" s="1">
        <f>_xlfn.XLOOKUP($C130,'Plaza SP Tar'!$C:$C,'Plaza SP Tar'!I:I)</f>
        <v>13856044.379830144</v>
      </c>
      <c r="N130" s="1">
        <v>40000</v>
      </c>
      <c r="O130" s="1">
        <f>_xlfn.XLOOKUP($C130,'Plaza SP Tar'!$C:$C,'Plaza SP Tar'!J:J)</f>
        <v>14921893.947509384</v>
      </c>
      <c r="P130" s="1">
        <v>45000</v>
      </c>
      <c r="Q130" s="1">
        <f>_xlfn.XLOOKUP($C130,'Plaza SP Tar'!$C:$C,'Plaza SP Tar'!K:K)</f>
        <v>15987743.515188627</v>
      </c>
      <c r="R130">
        <v>50000</v>
      </c>
    </row>
    <row r="131" spans="1:18" x14ac:dyDescent="0.25">
      <c r="A131" t="s">
        <v>82</v>
      </c>
      <c r="B131" t="s">
        <v>137</v>
      </c>
      <c r="C131" t="s">
        <v>143</v>
      </c>
      <c r="D131" s="1">
        <v>4025192</v>
      </c>
      <c r="E131" s="1">
        <f>_xlfn.XLOOKUP($C131,'Plaza SP Tar'!$C:$C,'Plaza SP Tar'!E:E)</f>
        <v>4393625.8980561262</v>
      </c>
      <c r="F131" s="1">
        <v>10000</v>
      </c>
      <c r="G131" s="1">
        <f>_xlfn.XLOOKUP($C131,'Plaza SP Tar'!$C:$C,'Plaza SP Tar'!F:F)</f>
        <v>5021286.7406355729</v>
      </c>
      <c r="H131" s="1">
        <v>18000</v>
      </c>
      <c r="I131" s="1">
        <f>_xlfn.XLOOKUP($C131,'Plaza SP Tar'!$C:$C,'Plaza SP Tar'!G:G)</f>
        <v>5523415.4146991288</v>
      </c>
      <c r="J131" s="1">
        <v>25000</v>
      </c>
      <c r="K131" s="1">
        <f>_xlfn.XLOOKUP($C131,'Plaza SP Tar'!$C:$C,'Plaza SP Tar'!H:H)</f>
        <v>6025544.0887626866</v>
      </c>
      <c r="L131" s="1">
        <v>30000</v>
      </c>
      <c r="M131" s="1">
        <f>_xlfn.XLOOKUP($C131,'Plaza SP Tar'!$C:$C,'Plaza SP Tar'!I:I)</f>
        <v>6527672.7628262443</v>
      </c>
      <c r="N131" s="1">
        <v>40000</v>
      </c>
      <c r="O131" s="1">
        <f>_xlfn.XLOOKUP($C131,'Plaza SP Tar'!$C:$C,'Plaza SP Tar'!J:J)</f>
        <v>7029801.4368898012</v>
      </c>
      <c r="P131" s="1">
        <v>45000</v>
      </c>
      <c r="Q131" s="1">
        <f>_xlfn.XLOOKUP($C131,'Plaza SP Tar'!$C:$C,'Plaza SP Tar'!K:K)</f>
        <v>7531930.110953358</v>
      </c>
      <c r="R131">
        <v>50000</v>
      </c>
    </row>
    <row r="132" spans="1:18" x14ac:dyDescent="0.25">
      <c r="A132" t="s">
        <v>82</v>
      </c>
      <c r="B132" t="s">
        <v>137</v>
      </c>
      <c r="C132" t="s">
        <v>144</v>
      </c>
      <c r="D132" s="1">
        <v>6082522</v>
      </c>
      <c r="E132" s="1">
        <f>_xlfn.XLOOKUP($C132,'Plaza SP Tar'!$C:$C,'Plaza SP Tar'!E:E)</f>
        <v>6639267.4398379363</v>
      </c>
      <c r="F132" s="1">
        <v>10000</v>
      </c>
      <c r="G132" s="1">
        <f>_xlfn.XLOOKUP($C132,'Plaza SP Tar'!$C:$C,'Plaza SP Tar'!F:F)</f>
        <v>7587734.2169576418</v>
      </c>
      <c r="H132" s="1">
        <v>18000</v>
      </c>
      <c r="I132" s="1">
        <f>_xlfn.XLOOKUP($C132,'Plaza SP Tar'!$C:$C,'Plaza SP Tar'!G:G)</f>
        <v>8346507.638653405</v>
      </c>
      <c r="J132" s="1">
        <v>25000</v>
      </c>
      <c r="K132" s="1">
        <f>_xlfn.XLOOKUP($C132,'Plaza SP Tar'!$C:$C,'Plaza SP Tar'!H:H)</f>
        <v>9105281.0603491701</v>
      </c>
      <c r="L132" s="1">
        <v>30000</v>
      </c>
      <c r="M132" s="1">
        <f>_xlfn.XLOOKUP($C132,'Plaza SP Tar'!$C:$C,'Plaza SP Tar'!I:I)</f>
        <v>9864054.4820449334</v>
      </c>
      <c r="N132" s="1">
        <v>40000</v>
      </c>
      <c r="O132" s="1">
        <f>_xlfn.XLOOKUP($C132,'Plaza SP Tar'!$C:$C,'Plaza SP Tar'!J:J)</f>
        <v>10622827.903740697</v>
      </c>
      <c r="P132" s="1">
        <v>45000</v>
      </c>
      <c r="Q132" s="1">
        <f>_xlfn.XLOOKUP($C132,'Plaza SP Tar'!$C:$C,'Plaza SP Tar'!K:K)</f>
        <v>11381601.325436462</v>
      </c>
      <c r="R132">
        <v>50000</v>
      </c>
    </row>
    <row r="133" spans="1:18" x14ac:dyDescent="0.25">
      <c r="A133" t="s">
        <v>82</v>
      </c>
      <c r="B133" t="s">
        <v>137</v>
      </c>
      <c r="C133" t="s">
        <v>145</v>
      </c>
      <c r="D133" s="1">
        <v>6761795</v>
      </c>
      <c r="E133" s="1">
        <f>_xlfn.XLOOKUP($C133,'Plaza SP Tar'!$C:$C,'Plaza SP Tar'!E:E)</f>
        <v>7380715.6601092378</v>
      </c>
      <c r="F133" s="1">
        <v>10000</v>
      </c>
      <c r="G133" s="1">
        <f>_xlfn.XLOOKUP($C133,'Plaza SP Tar'!$C:$C,'Plaza SP Tar'!F:F)</f>
        <v>8435103.6115534138</v>
      </c>
      <c r="H133" s="1">
        <v>18000</v>
      </c>
      <c r="I133" s="1">
        <f>_xlfn.XLOOKUP($C133,'Plaza SP Tar'!$C:$C,'Plaza SP Tar'!G:G)</f>
        <v>9278613.9727087542</v>
      </c>
      <c r="J133" s="1">
        <v>25000</v>
      </c>
      <c r="K133" s="1">
        <f>_xlfn.XLOOKUP($C133,'Plaza SP Tar'!$C:$C,'Plaza SP Tar'!H:H)</f>
        <v>10122124.333864097</v>
      </c>
      <c r="L133" s="1">
        <v>30000</v>
      </c>
      <c r="M133" s="1">
        <f>_xlfn.XLOOKUP($C133,'Plaza SP Tar'!$C:$C,'Plaza SP Tar'!I:I)</f>
        <v>10965634.695019439</v>
      </c>
      <c r="N133" s="1">
        <v>40000</v>
      </c>
      <c r="O133" s="1">
        <f>_xlfn.XLOOKUP($C133,'Plaza SP Tar'!$C:$C,'Plaza SP Tar'!J:J)</f>
        <v>11809145.056174779</v>
      </c>
      <c r="P133" s="1">
        <v>45000</v>
      </c>
      <c r="Q133" s="1">
        <f>_xlfn.XLOOKUP($C133,'Plaza SP Tar'!$C:$C,'Plaza SP Tar'!K:K)</f>
        <v>12652655.417330122</v>
      </c>
      <c r="R133">
        <v>50000</v>
      </c>
    </row>
    <row r="134" spans="1:18" x14ac:dyDescent="0.25">
      <c r="A134" t="s">
        <v>82</v>
      </c>
      <c r="B134" t="s">
        <v>137</v>
      </c>
      <c r="C134" t="s">
        <v>146</v>
      </c>
      <c r="D134" s="1">
        <v>11176122</v>
      </c>
      <c r="E134" s="1">
        <f>_xlfn.XLOOKUP($C134,'Plaza SP Tar'!$C:$C,'Plaza SP Tar'!E:E)</f>
        <v>12199094.865297066</v>
      </c>
      <c r="F134" s="1">
        <v>10000</v>
      </c>
      <c r="G134" s="1">
        <f>_xlfn.XLOOKUP($C134,'Plaza SP Tar'!$C:$C,'Plaza SP Tar'!F:F)</f>
        <v>13941822.703196647</v>
      </c>
      <c r="H134" s="1">
        <v>18000</v>
      </c>
      <c r="I134" s="1">
        <f>_xlfn.XLOOKUP($C134,'Plaza SP Tar'!$C:$C,'Plaza SP Tar'!G:G)</f>
        <v>15336004.97351631</v>
      </c>
      <c r="J134" s="1">
        <v>25000</v>
      </c>
      <c r="K134" s="1">
        <f>_xlfn.XLOOKUP($C134,'Plaza SP Tar'!$C:$C,'Plaza SP Tar'!H:H)</f>
        <v>16730187.243835974</v>
      </c>
      <c r="L134" s="1">
        <v>30000</v>
      </c>
      <c r="M134" s="1">
        <f>_xlfn.XLOOKUP($C134,'Plaza SP Tar'!$C:$C,'Plaza SP Tar'!I:I)</f>
        <v>18124369.514155641</v>
      </c>
      <c r="N134" s="1">
        <v>40000</v>
      </c>
      <c r="O134" s="1">
        <f>_xlfn.XLOOKUP($C134,'Plaza SP Tar'!$C:$C,'Plaza SP Tar'!J:J)</f>
        <v>19518551.784475304</v>
      </c>
      <c r="P134" s="1">
        <v>45000</v>
      </c>
      <c r="Q134" s="1">
        <f>_xlfn.XLOOKUP($C134,'Plaza SP Tar'!$C:$C,'Plaza SP Tar'!K:K)</f>
        <v>20912734.054794967</v>
      </c>
      <c r="R134">
        <v>50000</v>
      </c>
    </row>
    <row r="135" spans="1:18" x14ac:dyDescent="0.25">
      <c r="A135" t="s">
        <v>82</v>
      </c>
      <c r="B135" t="s">
        <v>137</v>
      </c>
      <c r="C135" t="s">
        <v>147</v>
      </c>
      <c r="D135" s="1">
        <v>3813386</v>
      </c>
      <c r="E135" s="1">
        <f>_xlfn.XLOOKUP($C135,'Plaza SP Tar'!$C:$C,'Plaza SP Tar'!E:E)</f>
        <v>4162432.8700058674</v>
      </c>
      <c r="F135" s="1">
        <v>10000</v>
      </c>
      <c r="G135" s="1">
        <f>_xlfn.XLOOKUP($C135,'Plaza SP Tar'!$C:$C,'Plaza SP Tar'!F:F)</f>
        <v>4757066.1371495631</v>
      </c>
      <c r="H135" s="1">
        <v>18000</v>
      </c>
      <c r="I135" s="1">
        <f>_xlfn.XLOOKUP($C135,'Plaza SP Tar'!$C:$C,'Plaza SP Tar'!G:G)</f>
        <v>5232772.7508645188</v>
      </c>
      <c r="J135" s="1">
        <v>25000</v>
      </c>
      <c r="K135" s="1">
        <f>_xlfn.XLOOKUP($C135,'Plaza SP Tar'!$C:$C,'Plaza SP Tar'!H:H)</f>
        <v>5708479.3645794755</v>
      </c>
      <c r="L135" s="1">
        <v>30000</v>
      </c>
      <c r="M135" s="1">
        <f>_xlfn.XLOOKUP($C135,'Plaza SP Tar'!$C:$C,'Plaza SP Tar'!I:I)</f>
        <v>6184185.9782944312</v>
      </c>
      <c r="N135" s="1">
        <v>40000</v>
      </c>
      <c r="O135" s="1">
        <f>_xlfn.XLOOKUP($C135,'Plaza SP Tar'!$C:$C,'Plaza SP Tar'!J:J)</f>
        <v>6659892.592009387</v>
      </c>
      <c r="P135" s="1">
        <v>45000</v>
      </c>
      <c r="Q135" s="1">
        <f>_xlfn.XLOOKUP($C135,'Plaza SP Tar'!$C:$C,'Plaza SP Tar'!K:K)</f>
        <v>7135599.2057243437</v>
      </c>
      <c r="R135">
        <v>50000</v>
      </c>
    </row>
    <row r="136" spans="1:18" x14ac:dyDescent="0.25">
      <c r="A136" t="s">
        <v>82</v>
      </c>
      <c r="B136" t="s">
        <v>137</v>
      </c>
      <c r="C136" t="s">
        <v>148</v>
      </c>
      <c r="D136" s="1">
        <v>2664693</v>
      </c>
      <c r="E136" s="1">
        <f>_xlfn.XLOOKUP($C136,'Plaza SP Tar'!$C:$C,'Plaza SP Tar'!E:E)</f>
        <v>2908597.6955059217</v>
      </c>
      <c r="F136" s="1">
        <v>10000</v>
      </c>
      <c r="G136" s="1">
        <f>_xlfn.XLOOKUP($C136,'Plaza SP Tar'!$C:$C,'Plaza SP Tar'!F:F)</f>
        <v>3324111.6520067677</v>
      </c>
      <c r="H136" s="1">
        <v>18000</v>
      </c>
      <c r="I136" s="1">
        <f>_xlfn.XLOOKUP($C136,'Plaza SP Tar'!$C:$C,'Plaza SP Tar'!G:G)</f>
        <v>3656522.817207444</v>
      </c>
      <c r="J136" s="1">
        <v>25000</v>
      </c>
      <c r="K136" s="1">
        <f>_xlfn.XLOOKUP($C136,'Plaza SP Tar'!$C:$C,'Plaza SP Tar'!H:H)</f>
        <v>3988933.9824081212</v>
      </c>
      <c r="L136" s="1">
        <v>30000</v>
      </c>
      <c r="M136" s="1">
        <f>_xlfn.XLOOKUP($C136,'Plaza SP Tar'!$C:$C,'Plaza SP Tar'!I:I)</f>
        <v>4321345.147608798</v>
      </c>
      <c r="N136" s="1">
        <v>40000</v>
      </c>
      <c r="O136" s="1">
        <f>_xlfn.XLOOKUP($C136,'Plaza SP Tar'!$C:$C,'Plaza SP Tar'!J:J)</f>
        <v>4653756.3128094748</v>
      </c>
      <c r="P136" s="1">
        <v>45000</v>
      </c>
      <c r="Q136" s="1">
        <f>_xlfn.XLOOKUP($C136,'Plaza SP Tar'!$C:$C,'Plaza SP Tar'!K:K)</f>
        <v>4986167.4780101515</v>
      </c>
      <c r="R136">
        <v>50000</v>
      </c>
    </row>
    <row r="137" spans="1:18" x14ac:dyDescent="0.25">
      <c r="A137" t="s">
        <v>82</v>
      </c>
      <c r="B137" t="s">
        <v>137</v>
      </c>
      <c r="C137" t="s">
        <v>149</v>
      </c>
      <c r="D137" s="1">
        <v>7067723</v>
      </c>
      <c r="E137" s="1">
        <f>_xlfn.XLOOKUP($C137,'Plaza SP Tar'!$C:$C,'Plaza SP Tar'!E:E)</f>
        <v>7714645.8636226393</v>
      </c>
      <c r="F137" s="1">
        <v>10000</v>
      </c>
      <c r="G137" s="1">
        <f>_xlfn.XLOOKUP($C137,'Plaza SP Tar'!$C:$C,'Plaza SP Tar'!F:F)</f>
        <v>8816738.1298544444</v>
      </c>
      <c r="H137" s="1">
        <v>18000</v>
      </c>
      <c r="I137" s="1">
        <f>_xlfn.XLOOKUP($C137,'Plaza SP Tar'!$C:$C,'Plaza SP Tar'!G:G)</f>
        <v>9698411.942839887</v>
      </c>
      <c r="J137" s="1">
        <v>25000</v>
      </c>
      <c r="K137" s="1">
        <f>_xlfn.XLOOKUP($C137,'Plaza SP Tar'!$C:$C,'Plaza SP Tar'!H:H)</f>
        <v>10580085.755825333</v>
      </c>
      <c r="L137" s="1">
        <v>30000</v>
      </c>
      <c r="M137" s="1">
        <f>_xlfn.XLOOKUP($C137,'Plaza SP Tar'!$C:$C,'Plaza SP Tar'!I:I)</f>
        <v>11461759.568810778</v>
      </c>
      <c r="N137" s="1">
        <v>40000</v>
      </c>
      <c r="O137" s="1">
        <f>_xlfn.XLOOKUP($C137,'Plaza SP Tar'!$C:$C,'Plaza SP Tar'!J:J)</f>
        <v>12343433.38179622</v>
      </c>
      <c r="P137" s="1">
        <v>45000</v>
      </c>
      <c r="Q137" s="1">
        <f>_xlfn.XLOOKUP($C137,'Plaza SP Tar'!$C:$C,'Plaza SP Tar'!K:K)</f>
        <v>13225107.194781665</v>
      </c>
      <c r="R137">
        <v>50000</v>
      </c>
    </row>
    <row r="138" spans="1:18" x14ac:dyDescent="0.25">
      <c r="A138" t="s">
        <v>82</v>
      </c>
      <c r="B138" t="s">
        <v>137</v>
      </c>
      <c r="C138" t="s">
        <v>150</v>
      </c>
      <c r="D138" s="1">
        <v>4066242</v>
      </c>
      <c r="E138" s="1">
        <f>_xlfn.XLOOKUP($C138,'Plaza SP Tar'!$C:$C,'Plaza SP Tar'!E:E)</f>
        <v>4438433.2868999885</v>
      </c>
      <c r="F138" s="1">
        <v>10000</v>
      </c>
      <c r="G138" s="1">
        <f>_xlfn.XLOOKUP($C138,'Plaza SP Tar'!$C:$C,'Plaza SP Tar'!F:F)</f>
        <v>5072495.1850285577</v>
      </c>
      <c r="H138" s="1">
        <v>18000</v>
      </c>
      <c r="I138" s="1">
        <f>_xlfn.XLOOKUP($C138,'Plaza SP Tar'!$C:$C,'Plaza SP Tar'!G:G)</f>
        <v>5579744.7035314133</v>
      </c>
      <c r="J138" s="1">
        <v>25000</v>
      </c>
      <c r="K138" s="1">
        <f>_xlfn.XLOOKUP($C138,'Plaza SP Tar'!$C:$C,'Plaza SP Tar'!H:H)</f>
        <v>6086994.222034269</v>
      </c>
      <c r="L138" s="1">
        <v>30000</v>
      </c>
      <c r="M138" s="1">
        <f>_xlfn.XLOOKUP($C138,'Plaza SP Tar'!$C:$C,'Plaza SP Tar'!I:I)</f>
        <v>6594243.7405371256</v>
      </c>
      <c r="N138" s="1">
        <v>40000</v>
      </c>
      <c r="O138" s="1">
        <f>_xlfn.XLOOKUP($C138,'Plaza SP Tar'!$C:$C,'Plaza SP Tar'!J:J)</f>
        <v>7101493.2590399804</v>
      </c>
      <c r="P138" s="1">
        <v>45000</v>
      </c>
      <c r="Q138" s="1">
        <f>_xlfn.XLOOKUP($C138,'Plaza SP Tar'!$C:$C,'Plaza SP Tar'!K:K)</f>
        <v>7608742.777542837</v>
      </c>
      <c r="R138">
        <v>50000</v>
      </c>
    </row>
    <row r="139" spans="1:18" x14ac:dyDescent="0.25">
      <c r="A139" t="s">
        <v>151</v>
      </c>
      <c r="B139" t="s">
        <v>152</v>
      </c>
      <c r="C139" t="s">
        <v>153</v>
      </c>
      <c r="D139" s="1">
        <v>1700000</v>
      </c>
      <c r="E139" s="1">
        <f>_xlfn.XLOOKUP($C139,'Plaza SP Tar'!$C:$C,'Plaza SP Tar'!E:E)</f>
        <v>1855604.4100990498</v>
      </c>
      <c r="F139" s="1">
        <v>10000</v>
      </c>
      <c r="G139" s="1">
        <f>_xlfn.XLOOKUP($C139,'Plaza SP Tar'!$C:$C,'Plaza SP Tar'!F:F)</f>
        <v>2120690.7543989141</v>
      </c>
      <c r="H139" s="1">
        <v>18000</v>
      </c>
      <c r="I139" s="1">
        <f>_xlfn.XLOOKUP($C139,'Plaza SP Tar'!$C:$C,'Plaza SP Tar'!G:G)</f>
        <v>2332759.8298388049</v>
      </c>
      <c r="J139" s="1">
        <v>25000</v>
      </c>
      <c r="K139" s="1">
        <f>_xlfn.XLOOKUP($C139,'Plaza SP Tar'!$C:$C,'Plaza SP Tar'!H:H)</f>
        <v>2544828.9052786967</v>
      </c>
      <c r="L139" s="1">
        <v>30000</v>
      </c>
      <c r="M139" s="1">
        <f>_xlfn.XLOOKUP($C139,'Plaza SP Tar'!$C:$C,'Plaza SP Tar'!I:I)</f>
        <v>2756897.980718588</v>
      </c>
      <c r="N139" s="1">
        <v>40000</v>
      </c>
      <c r="O139" s="1">
        <f>_xlfn.XLOOKUP($C139,'Plaza SP Tar'!$C:$C,'Plaza SP Tar'!J:J)</f>
        <v>2968967.0561584793</v>
      </c>
      <c r="P139" s="1">
        <v>45000</v>
      </c>
      <c r="Q139" s="1">
        <f>_xlfn.XLOOKUP($C139,'Plaza SP Tar'!$C:$C,'Plaza SP Tar'!K:K)</f>
        <v>3181036.1315983706</v>
      </c>
      <c r="R139">
        <v>50000</v>
      </c>
    </row>
    <row r="140" spans="1:18" x14ac:dyDescent="0.25">
      <c r="A140" t="s">
        <v>151</v>
      </c>
      <c r="B140" t="s">
        <v>152</v>
      </c>
      <c r="C140" t="s">
        <v>154</v>
      </c>
      <c r="D140" s="1">
        <v>2886464</v>
      </c>
      <c r="E140" s="1">
        <f>_xlfn.XLOOKUP($C140,'Plaza SP Tar'!$C:$C,'Plaza SP Tar'!E:E)</f>
        <v>3150667.8399953786</v>
      </c>
      <c r="F140" s="1">
        <v>10000</v>
      </c>
      <c r="G140" s="1">
        <f>_xlfn.XLOOKUP($C140,'Plaza SP Tar'!$C:$C,'Plaza SP Tar'!F:F)</f>
        <v>3600763.2457090039</v>
      </c>
      <c r="H140" s="1">
        <v>18000</v>
      </c>
      <c r="I140" s="1">
        <f>_xlfn.XLOOKUP($C140,'Plaza SP Tar'!$C:$C,'Plaza SP Tar'!G:G)</f>
        <v>3960839.5702799037</v>
      </c>
      <c r="J140" s="1">
        <v>25000</v>
      </c>
      <c r="K140" s="1">
        <f>_xlfn.XLOOKUP($C140,'Plaza SP Tar'!$C:$C,'Plaza SP Tar'!H:H)</f>
        <v>4320915.8948508045</v>
      </c>
      <c r="L140" s="1">
        <v>30000</v>
      </c>
      <c r="M140" s="1">
        <f>_xlfn.XLOOKUP($C140,'Plaza SP Tar'!$C:$C,'Plaza SP Tar'!I:I)</f>
        <v>4680992.2194217052</v>
      </c>
      <c r="N140" s="1">
        <v>40000</v>
      </c>
      <c r="O140" s="1">
        <f>_xlfn.XLOOKUP($C140,'Plaza SP Tar'!$C:$C,'Plaza SP Tar'!J:J)</f>
        <v>5041068.5439926051</v>
      </c>
      <c r="P140" s="1">
        <v>45000</v>
      </c>
      <c r="Q140" s="1">
        <f>_xlfn.XLOOKUP($C140,'Plaza SP Tar'!$C:$C,'Plaza SP Tar'!K:K)</f>
        <v>5401144.8685635058</v>
      </c>
      <c r="R140">
        <v>50000</v>
      </c>
    </row>
    <row r="141" spans="1:18" x14ac:dyDescent="0.25">
      <c r="A141" t="s">
        <v>151</v>
      </c>
      <c r="B141" t="s">
        <v>152</v>
      </c>
      <c r="C141" t="s">
        <v>155</v>
      </c>
      <c r="D141" s="1">
        <v>1700001</v>
      </c>
      <c r="E141" s="1">
        <f>_xlfn.XLOOKUP($C141,'Plaza SP Tar'!$C:$C,'Plaza SP Tar'!E:E)</f>
        <v>1855605.5016310557</v>
      </c>
      <c r="F141" s="1">
        <v>10000</v>
      </c>
      <c r="G141" s="1">
        <f>_xlfn.XLOOKUP($C141,'Plaza SP Tar'!$C:$C,'Plaza SP Tar'!F:F)</f>
        <v>2120692.0018640636</v>
      </c>
      <c r="H141" s="1">
        <v>18000</v>
      </c>
      <c r="I141" s="1">
        <f>_xlfn.XLOOKUP($C141,'Plaza SP Tar'!$C:$C,'Plaza SP Tar'!G:G)</f>
        <v>2332761.2020504698</v>
      </c>
      <c r="J141" s="1">
        <v>25000</v>
      </c>
      <c r="K141" s="1">
        <f>_xlfn.XLOOKUP($C141,'Plaza SP Tar'!$C:$C,'Plaza SP Tar'!H:H)</f>
        <v>2544830.4022368761</v>
      </c>
      <c r="L141" s="1">
        <v>30000</v>
      </c>
      <c r="M141" s="1">
        <f>_xlfn.XLOOKUP($C141,'Plaza SP Tar'!$C:$C,'Plaza SP Tar'!I:I)</f>
        <v>2756899.6024232828</v>
      </c>
      <c r="N141" s="1">
        <v>40000</v>
      </c>
      <c r="O141" s="1">
        <f>_xlfn.XLOOKUP($C141,'Plaza SP Tar'!$C:$C,'Plaza SP Tar'!J:J)</f>
        <v>2968968.8026096886</v>
      </c>
      <c r="P141" s="1">
        <v>45000</v>
      </c>
      <c r="Q141" s="1">
        <f>_xlfn.XLOOKUP($C141,'Plaza SP Tar'!$C:$C,'Plaza SP Tar'!K:K)</f>
        <v>3181038.0027960953</v>
      </c>
      <c r="R141">
        <v>50000</v>
      </c>
    </row>
    <row r="142" spans="1:18" x14ac:dyDescent="0.25">
      <c r="A142" t="s">
        <v>151</v>
      </c>
      <c r="B142" t="s">
        <v>152</v>
      </c>
      <c r="C142" t="s">
        <v>156</v>
      </c>
      <c r="D142" s="1">
        <v>3566538</v>
      </c>
      <c r="E142" s="1">
        <f>_xlfn.XLOOKUP($C142,'Plaza SP Tar'!$C:$C,'Plaza SP Tar'!E:E)</f>
        <v>3892990.3774034381</v>
      </c>
      <c r="F142" s="1">
        <v>10000</v>
      </c>
      <c r="G142" s="1">
        <f>_xlfn.XLOOKUP($C142,'Plaza SP Tar'!$C:$C,'Plaza SP Tar'!F:F)</f>
        <v>4449131.8598896433</v>
      </c>
      <c r="H142" s="1">
        <v>18000</v>
      </c>
      <c r="I142" s="1">
        <f>_xlfn.XLOOKUP($C142,'Plaza SP Tar'!$C:$C,'Plaza SP Tar'!G:G)</f>
        <v>4894045.0458786068</v>
      </c>
      <c r="J142" s="1">
        <v>25000</v>
      </c>
      <c r="K142" s="1">
        <f>_xlfn.XLOOKUP($C142,'Plaza SP Tar'!$C:$C,'Plaza SP Tar'!H:H)</f>
        <v>5338958.2318675714</v>
      </c>
      <c r="L142" s="1">
        <v>30000</v>
      </c>
      <c r="M142" s="1">
        <f>_xlfn.XLOOKUP($C142,'Plaza SP Tar'!$C:$C,'Plaza SP Tar'!I:I)</f>
        <v>5783871.4178565359</v>
      </c>
      <c r="N142" s="1">
        <v>40000</v>
      </c>
      <c r="O142" s="1">
        <f>_xlfn.XLOOKUP($C142,'Plaza SP Tar'!$C:$C,'Plaza SP Tar'!J:J)</f>
        <v>6228784.6038455004</v>
      </c>
      <c r="P142" s="1">
        <v>45000</v>
      </c>
      <c r="Q142" s="1">
        <f>_xlfn.XLOOKUP($C142,'Plaza SP Tar'!$C:$C,'Plaza SP Tar'!K:K)</f>
        <v>6673697.7898344649</v>
      </c>
      <c r="R142">
        <v>50000</v>
      </c>
    </row>
    <row r="143" spans="1:18" x14ac:dyDescent="0.25">
      <c r="A143" t="s">
        <v>151</v>
      </c>
      <c r="B143" t="s">
        <v>152</v>
      </c>
      <c r="C143" t="s">
        <v>157</v>
      </c>
      <c r="D143" s="1">
        <v>2496502</v>
      </c>
      <c r="E143" s="1">
        <f>_xlfn.XLOOKUP($C143,'Plaza SP Tar'!$C:$C,'Plaza SP Tar'!E:E)</f>
        <v>2725011.8358947635</v>
      </c>
      <c r="F143" s="1">
        <v>10000</v>
      </c>
      <c r="G143" s="1">
        <f>_xlfn.XLOOKUP($C143,'Plaza SP Tar'!$C:$C,'Plaza SP Tar'!F:F)</f>
        <v>3114299.2410225868</v>
      </c>
      <c r="H143" s="1">
        <v>18000</v>
      </c>
      <c r="I143" s="1">
        <f>_xlfn.XLOOKUP($C143,'Plaza SP Tar'!$C:$C,'Plaza SP Tar'!G:G)</f>
        <v>3425729.1651248452</v>
      </c>
      <c r="J143" s="1">
        <v>25000</v>
      </c>
      <c r="K143" s="1">
        <f>_xlfn.XLOOKUP($C143,'Plaza SP Tar'!$C:$C,'Plaza SP Tar'!H:H)</f>
        <v>3737159.0892271041</v>
      </c>
      <c r="L143" s="1">
        <v>30000</v>
      </c>
      <c r="M143" s="1">
        <f>_xlfn.XLOOKUP($C143,'Plaza SP Tar'!$C:$C,'Plaza SP Tar'!I:I)</f>
        <v>4048589.0133293625</v>
      </c>
      <c r="N143" s="1">
        <v>40000</v>
      </c>
      <c r="O143" s="1">
        <f>_xlfn.XLOOKUP($C143,'Plaza SP Tar'!$C:$C,'Plaza SP Tar'!J:J)</f>
        <v>4360018.9374316214</v>
      </c>
      <c r="P143" s="1">
        <v>45000</v>
      </c>
      <c r="Q143" s="1">
        <f>_xlfn.XLOOKUP($C143,'Plaza SP Tar'!$C:$C,'Plaza SP Tar'!K:K)</f>
        <v>4671448.8615338802</v>
      </c>
      <c r="R143">
        <v>50000</v>
      </c>
    </row>
    <row r="144" spans="1:18" x14ac:dyDescent="0.25">
      <c r="A144" t="s">
        <v>151</v>
      </c>
      <c r="B144" t="s">
        <v>152</v>
      </c>
      <c r="C144" t="s">
        <v>158</v>
      </c>
      <c r="D144" s="1">
        <v>3537627</v>
      </c>
      <c r="E144" s="1">
        <f>_xlfn.XLOOKUP($C144,'Plaza SP Tar'!$C:$C,'Plaza SP Tar'!E:E)</f>
        <v>3861433.0955796889</v>
      </c>
      <c r="F144" s="1">
        <v>10000</v>
      </c>
      <c r="G144" s="1">
        <f>_xlfn.XLOOKUP($C144,'Plaza SP Tar'!$C:$C,'Plaza SP Tar'!F:F)</f>
        <v>4413066.3949482162</v>
      </c>
      <c r="H144" s="1">
        <v>18000</v>
      </c>
      <c r="I144" s="1">
        <f>_xlfn.XLOOKUP($C144,'Plaza SP Tar'!$C:$C,'Plaza SP Tar'!G:G)</f>
        <v>4854373.0344430367</v>
      </c>
      <c r="J144" s="1">
        <v>25000</v>
      </c>
      <c r="K144" s="1">
        <f>_xlfn.XLOOKUP($C144,'Plaza SP Tar'!$C:$C,'Plaza SP Tar'!H:H)</f>
        <v>5295679.673937859</v>
      </c>
      <c r="L144" s="1">
        <v>30000</v>
      </c>
      <c r="M144" s="1">
        <f>_xlfn.XLOOKUP($C144,'Plaza SP Tar'!$C:$C,'Plaza SP Tar'!I:I)</f>
        <v>5736986.3134326804</v>
      </c>
      <c r="N144" s="1">
        <v>40000</v>
      </c>
      <c r="O144" s="1">
        <f>_xlfn.XLOOKUP($C144,'Plaza SP Tar'!$C:$C,'Plaza SP Tar'!J:J)</f>
        <v>6178292.9529275009</v>
      </c>
      <c r="P144" s="1">
        <v>45000</v>
      </c>
      <c r="Q144" s="1">
        <f>_xlfn.XLOOKUP($C144,'Plaza SP Tar'!$C:$C,'Plaza SP Tar'!K:K)</f>
        <v>6619599.5924223233</v>
      </c>
      <c r="R144">
        <v>50000</v>
      </c>
    </row>
    <row r="145" spans="1:18" x14ac:dyDescent="0.25">
      <c r="A145" t="s">
        <v>151</v>
      </c>
      <c r="B145" t="s">
        <v>152</v>
      </c>
      <c r="C145" t="s">
        <v>159</v>
      </c>
      <c r="D145" s="1">
        <v>4809288</v>
      </c>
      <c r="E145" s="1">
        <f>_xlfn.XLOOKUP($C145,'Plaza SP Tar'!$C:$C,'Plaza SP Tar'!E:E)</f>
        <v>5249491.7777861403</v>
      </c>
      <c r="F145" s="1">
        <v>10000</v>
      </c>
      <c r="G145" s="1">
        <f>_xlfn.XLOOKUP($C145,'Plaza SP Tar'!$C:$C,'Plaza SP Tar'!F:F)</f>
        <v>5999419.1746127317</v>
      </c>
      <c r="H145" s="1">
        <v>18000</v>
      </c>
      <c r="I145" s="1">
        <f>_xlfn.XLOOKUP($C145,'Plaza SP Tar'!$C:$C,'Plaza SP Tar'!G:G)</f>
        <v>6599361.092074004</v>
      </c>
      <c r="J145" s="1">
        <v>25000</v>
      </c>
      <c r="K145" s="1">
        <f>_xlfn.XLOOKUP($C145,'Plaza SP Tar'!$C:$C,'Plaza SP Tar'!H:H)</f>
        <v>7199303.0095352782</v>
      </c>
      <c r="L145" s="1">
        <v>30000</v>
      </c>
      <c r="M145" s="1">
        <f>_xlfn.XLOOKUP($C145,'Plaza SP Tar'!$C:$C,'Plaza SP Tar'!I:I)</f>
        <v>7799244.9269965515</v>
      </c>
      <c r="N145" s="1">
        <v>40000</v>
      </c>
      <c r="O145" s="1">
        <f>_xlfn.XLOOKUP($C145,'Plaza SP Tar'!$C:$C,'Plaza SP Tar'!J:J)</f>
        <v>8399186.8444578238</v>
      </c>
      <c r="P145" s="1">
        <v>45000</v>
      </c>
      <c r="Q145" s="1">
        <f>_xlfn.XLOOKUP($C145,'Plaza SP Tar'!$C:$C,'Plaza SP Tar'!K:K)</f>
        <v>8999128.761919098</v>
      </c>
      <c r="R145">
        <v>50000</v>
      </c>
    </row>
    <row r="146" spans="1:18" x14ac:dyDescent="0.25">
      <c r="A146" t="s">
        <v>151</v>
      </c>
      <c r="B146" t="s">
        <v>152</v>
      </c>
      <c r="C146" t="s">
        <v>160</v>
      </c>
      <c r="D146" s="1">
        <v>1699999</v>
      </c>
      <c r="E146" s="1">
        <f>_xlfn.XLOOKUP($C146,'Plaza SP Tar'!$C:$C,'Plaza SP Tar'!E:E)</f>
        <v>1855603.3185670439</v>
      </c>
      <c r="F146" s="1">
        <v>10000</v>
      </c>
      <c r="G146" s="1">
        <f>_xlfn.XLOOKUP($C146,'Plaza SP Tar'!$C:$C,'Plaza SP Tar'!F:F)</f>
        <v>2120689.5069337641</v>
      </c>
      <c r="H146" s="1">
        <v>18000</v>
      </c>
      <c r="I146" s="1">
        <f>_xlfn.XLOOKUP($C146,'Plaza SP Tar'!$C:$C,'Plaza SP Tar'!G:G)</f>
        <v>2332758.4576271405</v>
      </c>
      <c r="J146" s="1">
        <v>25000</v>
      </c>
      <c r="K146" s="1">
        <f>_xlfn.XLOOKUP($C146,'Plaza SP Tar'!$C:$C,'Plaza SP Tar'!H:H)</f>
        <v>2544827.4083205168</v>
      </c>
      <c r="L146" s="1">
        <v>30000</v>
      </c>
      <c r="M146" s="1">
        <f>_xlfn.XLOOKUP($C146,'Plaza SP Tar'!$C:$C,'Plaza SP Tar'!I:I)</f>
        <v>2756896.3590138936</v>
      </c>
      <c r="N146" s="1">
        <v>40000</v>
      </c>
      <c r="O146" s="1">
        <f>_xlfn.XLOOKUP($C146,'Plaza SP Tar'!$C:$C,'Plaza SP Tar'!J:J)</f>
        <v>2968965.3097072695</v>
      </c>
      <c r="P146" s="1">
        <v>45000</v>
      </c>
      <c r="Q146" s="1">
        <f>_xlfn.XLOOKUP($C146,'Plaza SP Tar'!$C:$C,'Plaza SP Tar'!K:K)</f>
        <v>3181034.2604006464</v>
      </c>
      <c r="R146">
        <v>50000</v>
      </c>
    </row>
    <row r="147" spans="1:18" x14ac:dyDescent="0.25">
      <c r="A147" t="s">
        <v>151</v>
      </c>
      <c r="B147" t="s">
        <v>152</v>
      </c>
      <c r="C147" t="s">
        <v>161</v>
      </c>
      <c r="D147" s="1">
        <v>1700000</v>
      </c>
      <c r="E147" s="1">
        <f>_xlfn.XLOOKUP($C147,'Plaza SP Tar'!$C:$C,'Plaza SP Tar'!E:E)</f>
        <v>1855604.4100990498</v>
      </c>
      <c r="F147" s="1">
        <v>10000</v>
      </c>
      <c r="G147" s="1">
        <f>_xlfn.XLOOKUP($C147,'Plaza SP Tar'!$C:$C,'Plaza SP Tar'!F:F)</f>
        <v>2120690.7543989141</v>
      </c>
      <c r="H147" s="1">
        <v>18000</v>
      </c>
      <c r="I147" s="1">
        <f>_xlfn.XLOOKUP($C147,'Plaza SP Tar'!$C:$C,'Plaza SP Tar'!G:G)</f>
        <v>2332759.8298388049</v>
      </c>
      <c r="J147" s="1">
        <v>25000</v>
      </c>
      <c r="K147" s="1">
        <f>_xlfn.XLOOKUP($C147,'Plaza SP Tar'!$C:$C,'Plaza SP Tar'!H:H)</f>
        <v>2544828.9052786967</v>
      </c>
      <c r="L147" s="1">
        <v>30000</v>
      </c>
      <c r="M147" s="1">
        <f>_xlfn.XLOOKUP($C147,'Plaza SP Tar'!$C:$C,'Plaza SP Tar'!I:I)</f>
        <v>2756897.980718588</v>
      </c>
      <c r="N147" s="1">
        <v>40000</v>
      </c>
      <c r="O147" s="1">
        <f>_xlfn.XLOOKUP($C147,'Plaza SP Tar'!$C:$C,'Plaza SP Tar'!J:J)</f>
        <v>2968967.0561584793</v>
      </c>
      <c r="P147" s="1">
        <v>45000</v>
      </c>
      <c r="Q147" s="1">
        <f>_xlfn.XLOOKUP($C147,'Plaza SP Tar'!$C:$C,'Plaza SP Tar'!K:K)</f>
        <v>3181036.1315983706</v>
      </c>
      <c r="R147">
        <v>50000</v>
      </c>
    </row>
    <row r="148" spans="1:18" x14ac:dyDescent="0.25">
      <c r="A148" t="s">
        <v>151</v>
      </c>
      <c r="B148" t="s">
        <v>152</v>
      </c>
      <c r="C148" t="s">
        <v>162</v>
      </c>
      <c r="D148" s="1">
        <v>7319149</v>
      </c>
      <c r="E148" s="1">
        <f>_xlfn.XLOOKUP($C148,'Plaza SP Tar'!$C:$C,'Plaza SP Tar'!E:E)</f>
        <v>7989085.389748265</v>
      </c>
      <c r="F148" s="1">
        <v>10000</v>
      </c>
      <c r="G148" s="1">
        <f>_xlfn.XLOOKUP($C148,'Plaza SP Tar'!$C:$C,'Plaza SP Tar'!F:F)</f>
        <v>9130383.3025694452</v>
      </c>
      <c r="H148" s="1">
        <v>18000</v>
      </c>
      <c r="I148" s="1">
        <f>_xlfn.XLOOKUP($C148,'Plaza SP Tar'!$C:$C,'Plaza SP Tar'!G:G)</f>
        <v>10043421.632826388</v>
      </c>
      <c r="J148" s="1">
        <v>25000</v>
      </c>
      <c r="K148" s="1">
        <f>_xlfn.XLOOKUP($C148,'Plaza SP Tar'!$C:$C,'Plaza SP Tar'!H:H)</f>
        <v>10956459.963083334</v>
      </c>
      <c r="L148" s="1">
        <v>30000</v>
      </c>
      <c r="M148" s="1">
        <f>_xlfn.XLOOKUP($C148,'Plaza SP Tar'!$C:$C,'Plaza SP Tar'!I:I)</f>
        <v>11869498.293340279</v>
      </c>
      <c r="N148" s="1">
        <v>40000</v>
      </c>
      <c r="O148" s="1">
        <f>_xlfn.XLOOKUP($C148,'Plaza SP Tar'!$C:$C,'Plaza SP Tar'!J:J)</f>
        <v>12782536.623597221</v>
      </c>
      <c r="P148" s="1">
        <v>45000</v>
      </c>
      <c r="Q148" s="1">
        <f>_xlfn.XLOOKUP($C148,'Plaza SP Tar'!$C:$C,'Plaza SP Tar'!K:K)</f>
        <v>13695574.953854166</v>
      </c>
      <c r="R148">
        <v>50000</v>
      </c>
    </row>
    <row r="149" spans="1:18" x14ac:dyDescent="0.25">
      <c r="A149" t="s">
        <v>151</v>
      </c>
      <c r="B149" t="s">
        <v>152</v>
      </c>
      <c r="C149" t="s">
        <v>163</v>
      </c>
      <c r="D149" s="1">
        <v>5197106</v>
      </c>
      <c r="E149" s="1">
        <f>_xlfn.XLOOKUP($C149,'Plaza SP Tar'!$C:$C,'Plaza SP Tar'!E:E)</f>
        <v>5672807.5372660188</v>
      </c>
      <c r="F149" s="1">
        <v>10000</v>
      </c>
      <c r="G149" s="1">
        <f>_xlfn.XLOOKUP($C149,'Plaza SP Tar'!$C:$C,'Plaza SP Tar'!F:F)</f>
        <v>6483208.6140183071</v>
      </c>
      <c r="H149" s="1">
        <v>18000</v>
      </c>
      <c r="I149" s="1">
        <f>_xlfn.XLOOKUP($C149,'Plaza SP Tar'!$C:$C,'Plaza SP Tar'!G:G)</f>
        <v>7131529.4754201369</v>
      </c>
      <c r="J149" s="1">
        <v>25000</v>
      </c>
      <c r="K149" s="1">
        <f>_xlfn.XLOOKUP($C149,'Plaza SP Tar'!$C:$C,'Plaza SP Tar'!H:H)</f>
        <v>7779850.3368219677</v>
      </c>
      <c r="L149" s="1">
        <v>30000</v>
      </c>
      <c r="M149" s="1">
        <f>_xlfn.XLOOKUP($C149,'Plaza SP Tar'!$C:$C,'Plaza SP Tar'!I:I)</f>
        <v>8428171.1982237995</v>
      </c>
      <c r="N149" s="1">
        <v>40000</v>
      </c>
      <c r="O149" s="1">
        <f>_xlfn.XLOOKUP($C149,'Plaza SP Tar'!$C:$C,'Plaza SP Tar'!J:J)</f>
        <v>9076492.0596256293</v>
      </c>
      <c r="P149" s="1">
        <v>45000</v>
      </c>
      <c r="Q149" s="1">
        <f>_xlfn.XLOOKUP($C149,'Plaza SP Tar'!$C:$C,'Plaza SP Tar'!K:K)</f>
        <v>9724812.9210274592</v>
      </c>
      <c r="R149">
        <v>50000</v>
      </c>
    </row>
    <row r="150" spans="1:18" x14ac:dyDescent="0.25">
      <c r="A150" t="s">
        <v>151</v>
      </c>
      <c r="B150" t="s">
        <v>152</v>
      </c>
      <c r="C150" t="s">
        <v>164</v>
      </c>
      <c r="D150" s="1">
        <v>1851354</v>
      </c>
      <c r="E150" s="1">
        <f>_xlfn.XLOOKUP($C150,'Plaza SP Tar'!$C:$C,'Plaza SP Tar'!E:E)</f>
        <v>2020812.145326186</v>
      </c>
      <c r="F150" s="1">
        <v>10000</v>
      </c>
      <c r="G150" s="1">
        <f>_xlfn.XLOOKUP($C150,'Plaza SP Tar'!$C:$C,'Plaza SP Tar'!F:F)</f>
        <v>2309499.5946584982</v>
      </c>
      <c r="H150" s="1">
        <v>18000</v>
      </c>
      <c r="I150" s="1">
        <f>_xlfn.XLOOKUP($C150,'Plaza SP Tar'!$C:$C,'Plaza SP Tar'!G:G)</f>
        <v>2540449.5541243479</v>
      </c>
      <c r="J150" s="1">
        <v>25000</v>
      </c>
      <c r="K150" s="1">
        <f>_xlfn.XLOOKUP($C150,'Plaza SP Tar'!$C:$C,'Plaza SP Tar'!H:H)</f>
        <v>2771399.5135901975</v>
      </c>
      <c r="L150" s="1">
        <v>30000</v>
      </c>
      <c r="M150" s="1">
        <f>_xlfn.XLOOKUP($C150,'Plaza SP Tar'!$C:$C,'Plaza SP Tar'!I:I)</f>
        <v>3002349.4730560477</v>
      </c>
      <c r="N150" s="1">
        <v>40000</v>
      </c>
      <c r="O150" s="1">
        <f>_xlfn.XLOOKUP($C150,'Plaza SP Tar'!$C:$C,'Plaza SP Tar'!J:J)</f>
        <v>3233299.4325218974</v>
      </c>
      <c r="P150" s="1">
        <v>45000</v>
      </c>
      <c r="Q150" s="1">
        <f>_xlfn.XLOOKUP($C150,'Plaza SP Tar'!$C:$C,'Plaza SP Tar'!K:K)</f>
        <v>3464249.391987747</v>
      </c>
      <c r="R150">
        <v>50000</v>
      </c>
    </row>
    <row r="151" spans="1:18" x14ac:dyDescent="0.25">
      <c r="A151" t="s">
        <v>151</v>
      </c>
      <c r="B151" t="s">
        <v>152</v>
      </c>
      <c r="C151" t="s">
        <v>165</v>
      </c>
      <c r="D151" s="1">
        <v>2844998</v>
      </c>
      <c r="E151" s="1">
        <f>_xlfn.XLOOKUP($C151,'Plaza SP Tar'!$C:$C,'Plaza SP Tar'!E:E)</f>
        <v>3105406.3738370449</v>
      </c>
      <c r="F151" s="1">
        <v>10000</v>
      </c>
      <c r="G151" s="1">
        <f>_xlfn.XLOOKUP($C151,'Plaza SP Tar'!$C:$C,'Plaza SP Tar'!F:F)</f>
        <v>3549035.8558137654</v>
      </c>
      <c r="H151" s="1">
        <v>18000</v>
      </c>
      <c r="I151" s="1">
        <f>_xlfn.XLOOKUP($C151,'Plaza SP Tar'!$C:$C,'Plaza SP Tar'!G:G)</f>
        <v>3903939.4413951416</v>
      </c>
      <c r="J151" s="1">
        <v>25000</v>
      </c>
      <c r="K151" s="1">
        <f>_xlfn.XLOOKUP($C151,'Plaza SP Tar'!$C:$C,'Plaza SP Tar'!H:H)</f>
        <v>4258843.0269765183</v>
      </c>
      <c r="L151" s="1">
        <v>30000</v>
      </c>
      <c r="M151" s="1">
        <f>_xlfn.XLOOKUP($C151,'Plaza SP Tar'!$C:$C,'Plaza SP Tar'!I:I)</f>
        <v>4613746.6125578955</v>
      </c>
      <c r="N151" s="1">
        <v>40000</v>
      </c>
      <c r="O151" s="1">
        <f>_xlfn.XLOOKUP($C151,'Plaza SP Tar'!$C:$C,'Plaza SP Tar'!J:J)</f>
        <v>4968650.1981392708</v>
      </c>
      <c r="P151" s="1">
        <v>45000</v>
      </c>
      <c r="Q151" s="1">
        <f>_xlfn.XLOOKUP($C151,'Plaza SP Tar'!$C:$C,'Plaza SP Tar'!K:K)</f>
        <v>5323553.7837206479</v>
      </c>
      <c r="R151">
        <v>50000</v>
      </c>
    </row>
    <row r="152" spans="1:18" x14ac:dyDescent="0.25">
      <c r="A152" t="s">
        <v>151</v>
      </c>
      <c r="B152" t="s">
        <v>152</v>
      </c>
      <c r="C152" t="s">
        <v>166</v>
      </c>
      <c r="D152" s="1">
        <v>3349262</v>
      </c>
      <c r="E152" s="1">
        <f>_xlfn.XLOOKUP($C152,'Plaza SP Tar'!$C:$C,'Plaza SP Tar'!E:E)</f>
        <v>3655826.6692806846</v>
      </c>
      <c r="F152" s="1">
        <v>10000</v>
      </c>
      <c r="G152" s="1">
        <f>_xlfn.XLOOKUP($C152,'Plaza SP Tar'!$C:$C,'Plaza SP Tar'!F:F)</f>
        <v>4178087.622035068</v>
      </c>
      <c r="H152" s="1">
        <v>18000</v>
      </c>
      <c r="I152" s="1">
        <f>_xlfn.XLOOKUP($C152,'Plaza SP Tar'!$C:$C,'Plaza SP Tar'!G:G)</f>
        <v>4595896.3842385737</v>
      </c>
      <c r="J152" s="1">
        <v>25000</v>
      </c>
      <c r="K152" s="1">
        <f>_xlfn.XLOOKUP($C152,'Plaza SP Tar'!$C:$C,'Plaza SP Tar'!H:H)</f>
        <v>5013705.1464420808</v>
      </c>
      <c r="L152" s="1">
        <v>30000</v>
      </c>
      <c r="M152" s="1">
        <f>_xlfn.XLOOKUP($C152,'Plaza SP Tar'!$C:$C,'Plaza SP Tar'!I:I)</f>
        <v>5431513.908645588</v>
      </c>
      <c r="N152" s="1">
        <v>40000</v>
      </c>
      <c r="O152" s="1">
        <f>_xlfn.XLOOKUP($C152,'Plaza SP Tar'!$C:$C,'Plaza SP Tar'!J:J)</f>
        <v>5849322.6708490942</v>
      </c>
      <c r="P152" s="1">
        <v>45000</v>
      </c>
      <c r="Q152" s="1">
        <f>_xlfn.XLOOKUP($C152,'Plaza SP Tar'!$C:$C,'Plaza SP Tar'!K:K)</f>
        <v>6267131.4330526013</v>
      </c>
      <c r="R152">
        <v>50000</v>
      </c>
    </row>
    <row r="153" spans="1:18" x14ac:dyDescent="0.25">
      <c r="A153" t="s">
        <v>151</v>
      </c>
      <c r="B153" t="s">
        <v>152</v>
      </c>
      <c r="C153" t="s">
        <v>167</v>
      </c>
      <c r="D153" s="1">
        <v>3471113</v>
      </c>
      <c r="E153" s="1">
        <f>_xlfn.XLOOKUP($C153,'Plaza SP Tar'!$C:$C,'Plaza SP Tar'!E:E)</f>
        <v>3788830.9357365547</v>
      </c>
      <c r="F153" s="1">
        <v>10000</v>
      </c>
      <c r="G153" s="1">
        <f>_xlfn.XLOOKUP($C153,'Plaza SP Tar'!$C:$C,'Plaza SP Tar'!F:F)</f>
        <v>4330092.4979846338</v>
      </c>
      <c r="H153" s="1">
        <v>18000</v>
      </c>
      <c r="I153" s="1">
        <f>_xlfn.XLOOKUP($C153,'Plaza SP Tar'!$C:$C,'Plaza SP Tar'!G:G)</f>
        <v>4763101.7477830965</v>
      </c>
      <c r="J153" s="1">
        <v>25000</v>
      </c>
      <c r="K153" s="1">
        <f>_xlfn.XLOOKUP($C153,'Plaza SP Tar'!$C:$C,'Plaza SP Tar'!H:H)</f>
        <v>5196110.9975815602</v>
      </c>
      <c r="L153" s="1">
        <v>30000</v>
      </c>
      <c r="M153" s="1">
        <f>_xlfn.XLOOKUP($C153,'Plaza SP Tar'!$C:$C,'Plaza SP Tar'!I:I)</f>
        <v>5629120.2473800238</v>
      </c>
      <c r="N153" s="1">
        <v>40000</v>
      </c>
      <c r="O153" s="1">
        <f>_xlfn.XLOOKUP($C153,'Plaza SP Tar'!$C:$C,'Plaza SP Tar'!J:J)</f>
        <v>6062129.4971784865</v>
      </c>
      <c r="P153" s="1">
        <v>45000</v>
      </c>
      <c r="Q153" s="1">
        <f>_xlfn.XLOOKUP($C153,'Plaza SP Tar'!$C:$C,'Plaza SP Tar'!K:K)</f>
        <v>6495138.7469769502</v>
      </c>
      <c r="R153">
        <v>50000</v>
      </c>
    </row>
    <row r="154" spans="1:18" x14ac:dyDescent="0.25">
      <c r="A154" t="s">
        <v>151</v>
      </c>
      <c r="B154" t="s">
        <v>168</v>
      </c>
      <c r="C154" t="s">
        <v>169</v>
      </c>
      <c r="D154" s="1">
        <v>2565418</v>
      </c>
      <c r="E154" s="1">
        <f>_xlfn.XLOOKUP($C154,'Plaza SP Tar'!$C:$C,'Plaza SP Tar'!E:E)</f>
        <v>2800235.8556161672</v>
      </c>
      <c r="F154" s="1">
        <v>10000</v>
      </c>
      <c r="G154" s="1">
        <f>_xlfn.XLOOKUP($C154,'Plaza SP Tar'!$C:$C,'Plaza SP Tar'!F:F)</f>
        <v>3200269.5492756194</v>
      </c>
      <c r="H154" s="1">
        <v>18000</v>
      </c>
      <c r="I154" s="1">
        <f>_xlfn.XLOOKUP($C154,'Plaza SP Tar'!$C:$C,'Plaza SP Tar'!G:G)</f>
        <v>3520296.5042031808</v>
      </c>
      <c r="J154" s="1">
        <v>25000</v>
      </c>
      <c r="K154" s="1">
        <f>_xlfn.XLOOKUP($C154,'Plaza SP Tar'!$C:$C,'Plaza SP Tar'!H:H)</f>
        <v>3840323.4591307431</v>
      </c>
      <c r="L154" s="1">
        <v>30000</v>
      </c>
      <c r="M154" s="1">
        <f>_xlfn.XLOOKUP($C154,'Plaza SP Tar'!$C:$C,'Plaza SP Tar'!I:I)</f>
        <v>4160350.4140583053</v>
      </c>
      <c r="N154" s="1">
        <v>40000</v>
      </c>
      <c r="O154" s="1">
        <f>_xlfn.XLOOKUP($C154,'Plaza SP Tar'!$C:$C,'Plaza SP Tar'!J:J)</f>
        <v>4480377.3689858671</v>
      </c>
      <c r="P154" s="1">
        <v>45000</v>
      </c>
      <c r="Q154" s="1">
        <f>_xlfn.XLOOKUP($C154,'Plaza SP Tar'!$C:$C,'Plaza SP Tar'!K:K)</f>
        <v>4800404.3239134289</v>
      </c>
      <c r="R154">
        <v>50000</v>
      </c>
    </row>
    <row r="155" spans="1:18" x14ac:dyDescent="0.25">
      <c r="A155" t="s">
        <v>151</v>
      </c>
      <c r="B155" t="s">
        <v>168</v>
      </c>
      <c r="C155" t="s">
        <v>170</v>
      </c>
      <c r="D155" s="1">
        <v>4351539</v>
      </c>
      <c r="E155" s="1">
        <f>_xlfn.XLOOKUP($C155,'Plaza SP Tar'!$C:$C,'Plaza SP Tar'!E:E)</f>
        <v>4749844.0935988287</v>
      </c>
      <c r="F155" s="1">
        <v>10000</v>
      </c>
      <c r="G155" s="1">
        <f>_xlfn.XLOOKUP($C155,'Plaza SP Tar'!$C:$C,'Plaza SP Tar'!F:F)</f>
        <v>5428393.2498272331</v>
      </c>
      <c r="H155" s="1">
        <v>18000</v>
      </c>
      <c r="I155" s="1">
        <f>_xlfn.XLOOKUP($C155,'Plaza SP Tar'!$C:$C,'Plaza SP Tar'!G:G)</f>
        <v>5971232.5748099554</v>
      </c>
      <c r="J155" s="1">
        <v>25000</v>
      </c>
      <c r="K155" s="1">
        <f>_xlfn.XLOOKUP($C155,'Plaza SP Tar'!$C:$C,'Plaza SP Tar'!H:H)</f>
        <v>6514071.8997926787</v>
      </c>
      <c r="L155" s="1">
        <v>30000</v>
      </c>
      <c r="M155" s="1">
        <f>_xlfn.XLOOKUP($C155,'Plaza SP Tar'!$C:$C,'Plaza SP Tar'!I:I)</f>
        <v>7056911.2247754028</v>
      </c>
      <c r="N155" s="1">
        <v>40000</v>
      </c>
      <c r="O155" s="1">
        <f>_xlfn.XLOOKUP($C155,'Plaza SP Tar'!$C:$C,'Plaza SP Tar'!J:J)</f>
        <v>7599750.5497581251</v>
      </c>
      <c r="P155" s="1">
        <v>45000</v>
      </c>
      <c r="Q155" s="1">
        <f>_xlfn.XLOOKUP($C155,'Plaza SP Tar'!$C:$C,'Plaza SP Tar'!K:K)</f>
        <v>8142589.8747408483</v>
      </c>
      <c r="R155">
        <v>50000</v>
      </c>
    </row>
    <row r="156" spans="1:18" x14ac:dyDescent="0.25">
      <c r="A156" t="s">
        <v>151</v>
      </c>
      <c r="B156" t="s">
        <v>168</v>
      </c>
      <c r="C156" t="s">
        <v>171</v>
      </c>
      <c r="D156" s="1">
        <v>1700000</v>
      </c>
      <c r="E156" s="1">
        <f>_xlfn.XLOOKUP($C156,'Plaza SP Tar'!$C:$C,'Plaza SP Tar'!E:E)</f>
        <v>1855604.4100990498</v>
      </c>
      <c r="F156" s="1">
        <v>10000</v>
      </c>
      <c r="G156" s="1">
        <f>_xlfn.XLOOKUP($C156,'Plaza SP Tar'!$C:$C,'Plaza SP Tar'!F:F)</f>
        <v>2120690.7543989141</v>
      </c>
      <c r="H156" s="1">
        <v>18000</v>
      </c>
      <c r="I156" s="1">
        <f>_xlfn.XLOOKUP($C156,'Plaza SP Tar'!$C:$C,'Plaza SP Tar'!G:G)</f>
        <v>2332759.8298388049</v>
      </c>
      <c r="J156" s="1">
        <v>25000</v>
      </c>
      <c r="K156" s="1">
        <f>_xlfn.XLOOKUP($C156,'Plaza SP Tar'!$C:$C,'Plaza SP Tar'!H:H)</f>
        <v>2544828.9052786967</v>
      </c>
      <c r="L156" s="1">
        <v>30000</v>
      </c>
      <c r="M156" s="1">
        <f>_xlfn.XLOOKUP($C156,'Plaza SP Tar'!$C:$C,'Plaza SP Tar'!I:I)</f>
        <v>2756897.980718588</v>
      </c>
      <c r="N156" s="1">
        <v>40000</v>
      </c>
      <c r="O156" s="1">
        <f>_xlfn.XLOOKUP($C156,'Plaza SP Tar'!$C:$C,'Plaza SP Tar'!J:J)</f>
        <v>2968967.0561584793</v>
      </c>
      <c r="P156" s="1">
        <v>45000</v>
      </c>
      <c r="Q156" s="1">
        <f>_xlfn.XLOOKUP($C156,'Plaza SP Tar'!$C:$C,'Plaza SP Tar'!K:K)</f>
        <v>3181036.1315983706</v>
      </c>
      <c r="R156">
        <v>50000</v>
      </c>
    </row>
    <row r="157" spans="1:18" x14ac:dyDescent="0.25">
      <c r="A157" t="s">
        <v>151</v>
      </c>
      <c r="B157" t="s">
        <v>168</v>
      </c>
      <c r="C157" t="s">
        <v>172</v>
      </c>
      <c r="D157" s="1">
        <v>1758152</v>
      </c>
      <c r="E157" s="1">
        <f>_xlfn.XLOOKUP($C157,'Plaza SP Tar'!$C:$C,'Plaza SP Tar'!E:E)</f>
        <v>1919079.1793085085</v>
      </c>
      <c r="F157" s="1">
        <v>10000</v>
      </c>
      <c r="G157" s="1">
        <f>_xlfn.XLOOKUP($C157,'Plaza SP Tar'!$C:$C,'Plaza SP Tar'!F:F)</f>
        <v>2193233.3477811525</v>
      </c>
      <c r="H157" s="1">
        <v>18000</v>
      </c>
      <c r="I157" s="1">
        <f>_xlfn.XLOOKUP($C157,'Plaza SP Tar'!$C:$C,'Plaza SP Tar'!G:G)</f>
        <v>2412556.6825592676</v>
      </c>
      <c r="J157" s="1">
        <v>25000</v>
      </c>
      <c r="K157" s="1">
        <f>_xlfn.XLOOKUP($C157,'Plaza SP Tar'!$C:$C,'Plaza SP Tar'!H:H)</f>
        <v>2631880.0173373828</v>
      </c>
      <c r="L157" s="1">
        <v>30000</v>
      </c>
      <c r="M157" s="1">
        <f>_xlfn.XLOOKUP($C157,'Plaza SP Tar'!$C:$C,'Plaza SP Tar'!I:I)</f>
        <v>2851203.3521154984</v>
      </c>
      <c r="N157" s="1">
        <v>40000</v>
      </c>
      <c r="O157" s="1">
        <f>_xlfn.XLOOKUP($C157,'Plaza SP Tar'!$C:$C,'Plaza SP Tar'!J:J)</f>
        <v>3070526.6868936131</v>
      </c>
      <c r="P157" s="1">
        <v>45000</v>
      </c>
      <c r="Q157" s="1">
        <f>_xlfn.XLOOKUP($C157,'Plaza SP Tar'!$C:$C,'Plaza SP Tar'!K:K)</f>
        <v>3289850.0216717287</v>
      </c>
      <c r="R157">
        <v>50000</v>
      </c>
    </row>
    <row r="158" spans="1:18" x14ac:dyDescent="0.25">
      <c r="A158" t="s">
        <v>151</v>
      </c>
      <c r="B158" t="s">
        <v>168</v>
      </c>
      <c r="C158" t="s">
        <v>173</v>
      </c>
      <c r="D158" s="1">
        <v>4973284</v>
      </c>
      <c r="E158" s="1">
        <f>_xlfn.XLOOKUP($C158,'Plaza SP Tar'!$C:$C,'Plaza SP Tar'!E:E)</f>
        <v>5428498.6606323784</v>
      </c>
      <c r="F158" s="1">
        <v>10000</v>
      </c>
      <c r="G158" s="1">
        <f>_xlfn.XLOOKUP($C158,'Plaza SP Tar'!$C:$C,'Plaza SP Tar'!F:F)</f>
        <v>6203998.4692941457</v>
      </c>
      <c r="H158" s="1">
        <v>18000</v>
      </c>
      <c r="I158" s="1">
        <f>_xlfn.XLOOKUP($C158,'Plaza SP Tar'!$C:$C,'Plaza SP Tar'!G:G)</f>
        <v>6824398.3162235599</v>
      </c>
      <c r="J158" s="1">
        <v>25000</v>
      </c>
      <c r="K158" s="1">
        <f>_xlfn.XLOOKUP($C158,'Plaza SP Tar'!$C:$C,'Plaza SP Tar'!H:H)</f>
        <v>7444798.163152975</v>
      </c>
      <c r="L158" s="1">
        <v>30000</v>
      </c>
      <c r="M158" s="1">
        <f>_xlfn.XLOOKUP($C158,'Plaza SP Tar'!$C:$C,'Plaza SP Tar'!I:I)</f>
        <v>8065198.0100823902</v>
      </c>
      <c r="N158" s="1">
        <v>40000</v>
      </c>
      <c r="O158" s="1">
        <f>_xlfn.XLOOKUP($C158,'Plaza SP Tar'!$C:$C,'Plaza SP Tar'!J:J)</f>
        <v>8685597.8570118044</v>
      </c>
      <c r="P158" s="1">
        <v>45000</v>
      </c>
      <c r="Q158" s="1">
        <f>_xlfn.XLOOKUP($C158,'Plaza SP Tar'!$C:$C,'Plaza SP Tar'!K:K)</f>
        <v>9305997.7039412186</v>
      </c>
      <c r="R158">
        <v>50000</v>
      </c>
    </row>
    <row r="159" spans="1:18" x14ac:dyDescent="0.25">
      <c r="A159" t="s">
        <v>151</v>
      </c>
      <c r="B159" t="s">
        <v>168</v>
      </c>
      <c r="C159" t="s">
        <v>174</v>
      </c>
      <c r="D159" s="1">
        <v>1699999</v>
      </c>
      <c r="E159" s="1">
        <f>_xlfn.XLOOKUP($C159,'Plaza SP Tar'!$C:$C,'Plaza SP Tar'!E:E)</f>
        <v>1855603.3185670439</v>
      </c>
      <c r="F159" s="1">
        <v>10000</v>
      </c>
      <c r="G159" s="1">
        <f>_xlfn.XLOOKUP($C159,'Plaza SP Tar'!$C:$C,'Plaza SP Tar'!F:F)</f>
        <v>2120689.5069337641</v>
      </c>
      <c r="H159" s="1">
        <v>18000</v>
      </c>
      <c r="I159" s="1">
        <f>_xlfn.XLOOKUP($C159,'Plaza SP Tar'!$C:$C,'Plaza SP Tar'!G:G)</f>
        <v>2332758.4576271405</v>
      </c>
      <c r="J159" s="1">
        <v>25000</v>
      </c>
      <c r="K159" s="1">
        <f>_xlfn.XLOOKUP($C159,'Plaza SP Tar'!$C:$C,'Plaza SP Tar'!H:H)</f>
        <v>2544827.4083205168</v>
      </c>
      <c r="L159" s="1">
        <v>30000</v>
      </c>
      <c r="M159" s="1">
        <f>_xlfn.XLOOKUP($C159,'Plaza SP Tar'!$C:$C,'Plaza SP Tar'!I:I)</f>
        <v>2756896.3590138936</v>
      </c>
      <c r="N159" s="1">
        <v>40000</v>
      </c>
      <c r="O159" s="1">
        <f>_xlfn.XLOOKUP($C159,'Plaza SP Tar'!$C:$C,'Plaza SP Tar'!J:J)</f>
        <v>2968965.3097072695</v>
      </c>
      <c r="P159" s="1">
        <v>45000</v>
      </c>
      <c r="Q159" s="1">
        <f>_xlfn.XLOOKUP($C159,'Plaza SP Tar'!$C:$C,'Plaza SP Tar'!K:K)</f>
        <v>3181034.2604006464</v>
      </c>
      <c r="R159">
        <v>50000</v>
      </c>
    </row>
    <row r="160" spans="1:18" x14ac:dyDescent="0.25">
      <c r="A160" t="s">
        <v>151</v>
      </c>
      <c r="B160" t="s">
        <v>168</v>
      </c>
      <c r="C160" t="s">
        <v>175</v>
      </c>
      <c r="D160" s="1">
        <v>2047325</v>
      </c>
      <c r="E160" s="1">
        <f>_xlfn.XLOOKUP($C160,'Plaza SP Tar'!$C:$C,'Plaza SP Tar'!E:E)</f>
        <v>2234720.7640623748</v>
      </c>
      <c r="F160" s="1">
        <v>10000</v>
      </c>
      <c r="G160" s="1">
        <f>_xlfn.XLOOKUP($C160,'Plaza SP Tar'!$C:$C,'Plaza SP Tar'!F:F)</f>
        <v>2553966.5874998569</v>
      </c>
      <c r="H160" s="1">
        <v>18000</v>
      </c>
      <c r="I160" s="1">
        <f>_xlfn.XLOOKUP($C160,'Plaza SP Tar'!$C:$C,'Plaza SP Tar'!G:G)</f>
        <v>2809363.246249842</v>
      </c>
      <c r="J160" s="1">
        <v>25000</v>
      </c>
      <c r="K160" s="1">
        <f>_xlfn.XLOOKUP($C160,'Plaza SP Tar'!$C:$C,'Plaza SP Tar'!H:H)</f>
        <v>3064759.904999828</v>
      </c>
      <c r="L160" s="1">
        <v>30000</v>
      </c>
      <c r="M160" s="1">
        <f>_xlfn.XLOOKUP($C160,'Plaza SP Tar'!$C:$C,'Plaza SP Tar'!I:I)</f>
        <v>3320156.5637498139</v>
      </c>
      <c r="N160" s="1">
        <v>40000</v>
      </c>
      <c r="O160" s="1">
        <f>_xlfn.XLOOKUP($C160,'Plaza SP Tar'!$C:$C,'Plaza SP Tar'!J:J)</f>
        <v>3575553.222499799</v>
      </c>
      <c r="P160" s="1">
        <v>45000</v>
      </c>
      <c r="Q160" s="1">
        <f>_xlfn.XLOOKUP($C160,'Plaza SP Tar'!$C:$C,'Plaza SP Tar'!K:K)</f>
        <v>3830949.881249785</v>
      </c>
      <c r="R160">
        <v>50000</v>
      </c>
    </row>
    <row r="161" spans="1:18" x14ac:dyDescent="0.25">
      <c r="A161" t="s">
        <v>151</v>
      </c>
      <c r="B161" t="s">
        <v>168</v>
      </c>
      <c r="C161" t="s">
        <v>176</v>
      </c>
      <c r="D161" s="1">
        <v>5250557</v>
      </c>
      <c r="E161" s="1">
        <f>_xlfn.XLOOKUP($C161,'Plaza SP Tar'!$C:$C,'Plaza SP Tar'!E:E)</f>
        <v>5731151.0145155508</v>
      </c>
      <c r="F161" s="1">
        <v>10000</v>
      </c>
      <c r="G161" s="1">
        <f>_xlfn.XLOOKUP($C161,'Plaza SP Tar'!$C:$C,'Plaza SP Tar'!F:F)</f>
        <v>6549886.8737320583</v>
      </c>
      <c r="H161" s="1">
        <v>18000</v>
      </c>
      <c r="I161" s="1">
        <f>_xlfn.XLOOKUP($C161,'Plaza SP Tar'!$C:$C,'Plaza SP Tar'!G:G)</f>
        <v>7204875.5611052625</v>
      </c>
      <c r="J161" s="1">
        <v>25000</v>
      </c>
      <c r="K161" s="1">
        <f>_xlfn.XLOOKUP($C161,'Plaza SP Tar'!$C:$C,'Plaza SP Tar'!H:H)</f>
        <v>7859864.2484784694</v>
      </c>
      <c r="L161" s="1">
        <v>30000</v>
      </c>
      <c r="M161" s="1">
        <f>_xlfn.XLOOKUP($C161,'Plaza SP Tar'!$C:$C,'Plaza SP Tar'!I:I)</f>
        <v>8514852.9358516745</v>
      </c>
      <c r="N161" s="1">
        <v>40000</v>
      </c>
      <c r="O161" s="1">
        <f>_xlfn.XLOOKUP($C161,'Plaza SP Tar'!$C:$C,'Plaza SP Tar'!J:J)</f>
        <v>9169841.6232248805</v>
      </c>
      <c r="P161" s="1">
        <v>45000</v>
      </c>
      <c r="Q161" s="1">
        <f>_xlfn.XLOOKUP($C161,'Plaza SP Tar'!$C:$C,'Plaza SP Tar'!K:K)</f>
        <v>9824830.3105980866</v>
      </c>
      <c r="R161">
        <v>50000</v>
      </c>
    </row>
    <row r="162" spans="1:18" x14ac:dyDescent="0.25">
      <c r="A162" t="s">
        <v>151</v>
      </c>
      <c r="B162" t="s">
        <v>168</v>
      </c>
      <c r="C162" t="s">
        <v>177</v>
      </c>
      <c r="D162" s="1">
        <v>1700000</v>
      </c>
      <c r="E162" s="1">
        <f>_xlfn.XLOOKUP($C162,'Plaza SP Tar'!$C:$C,'Plaza SP Tar'!E:E)</f>
        <v>1855604.4100990498</v>
      </c>
      <c r="F162" s="1">
        <v>10000</v>
      </c>
      <c r="G162" s="1">
        <f>_xlfn.XLOOKUP($C162,'Plaza SP Tar'!$C:$C,'Plaza SP Tar'!F:F)</f>
        <v>2120690.7543989141</v>
      </c>
      <c r="H162" s="1">
        <v>18000</v>
      </c>
      <c r="I162" s="1">
        <f>_xlfn.XLOOKUP($C162,'Plaza SP Tar'!$C:$C,'Plaza SP Tar'!G:G)</f>
        <v>2332759.8298388049</v>
      </c>
      <c r="J162" s="1">
        <v>25000</v>
      </c>
      <c r="K162" s="1">
        <f>_xlfn.XLOOKUP($C162,'Plaza SP Tar'!$C:$C,'Plaza SP Tar'!H:H)</f>
        <v>2544828.9052786967</v>
      </c>
      <c r="L162" s="1">
        <v>30000</v>
      </c>
      <c r="M162" s="1">
        <f>_xlfn.XLOOKUP($C162,'Plaza SP Tar'!$C:$C,'Plaza SP Tar'!I:I)</f>
        <v>2756897.980718588</v>
      </c>
      <c r="N162" s="1">
        <v>40000</v>
      </c>
      <c r="O162" s="1">
        <f>_xlfn.XLOOKUP($C162,'Plaza SP Tar'!$C:$C,'Plaza SP Tar'!J:J)</f>
        <v>2968967.0561584793</v>
      </c>
      <c r="P162" s="1">
        <v>45000</v>
      </c>
      <c r="Q162" s="1">
        <f>_xlfn.XLOOKUP($C162,'Plaza SP Tar'!$C:$C,'Plaza SP Tar'!K:K)</f>
        <v>3181036.1315983706</v>
      </c>
      <c r="R162">
        <v>50000</v>
      </c>
    </row>
    <row r="163" spans="1:18" x14ac:dyDescent="0.25">
      <c r="A163" t="s">
        <v>151</v>
      </c>
      <c r="B163" t="s">
        <v>168</v>
      </c>
      <c r="C163" t="s">
        <v>178</v>
      </c>
      <c r="D163" s="1">
        <v>1699999</v>
      </c>
      <c r="E163" s="1">
        <f>_xlfn.XLOOKUP($C163,'Plaza SP Tar'!$C:$C,'Plaza SP Tar'!E:E)</f>
        <v>1855603.3185670439</v>
      </c>
      <c r="F163" s="1">
        <v>10000</v>
      </c>
      <c r="G163" s="1">
        <f>_xlfn.XLOOKUP($C163,'Plaza SP Tar'!$C:$C,'Plaza SP Tar'!F:F)</f>
        <v>2120689.5069337641</v>
      </c>
      <c r="H163" s="1">
        <v>18000</v>
      </c>
      <c r="I163" s="1">
        <f>_xlfn.XLOOKUP($C163,'Plaza SP Tar'!$C:$C,'Plaza SP Tar'!G:G)</f>
        <v>2332758.4576271405</v>
      </c>
      <c r="J163" s="1">
        <v>25000</v>
      </c>
      <c r="K163" s="1">
        <f>_xlfn.XLOOKUP($C163,'Plaza SP Tar'!$C:$C,'Plaza SP Tar'!H:H)</f>
        <v>2544827.4083205168</v>
      </c>
      <c r="L163" s="1">
        <v>30000</v>
      </c>
      <c r="M163" s="1">
        <f>_xlfn.XLOOKUP($C163,'Plaza SP Tar'!$C:$C,'Plaza SP Tar'!I:I)</f>
        <v>2756896.3590138936</v>
      </c>
      <c r="N163" s="1">
        <v>40000</v>
      </c>
      <c r="O163" s="1">
        <f>_xlfn.XLOOKUP($C163,'Plaza SP Tar'!$C:$C,'Plaza SP Tar'!J:J)</f>
        <v>2968965.3097072695</v>
      </c>
      <c r="P163" s="1">
        <v>45000</v>
      </c>
      <c r="Q163" s="1">
        <f>_xlfn.XLOOKUP($C163,'Plaza SP Tar'!$C:$C,'Plaza SP Tar'!K:K)</f>
        <v>3181034.2604006464</v>
      </c>
      <c r="R163">
        <v>50000</v>
      </c>
    </row>
    <row r="164" spans="1:18" x14ac:dyDescent="0.25">
      <c r="A164" t="s">
        <v>151</v>
      </c>
      <c r="B164" t="s">
        <v>168</v>
      </c>
      <c r="C164" t="s">
        <v>179</v>
      </c>
      <c r="D164" s="1">
        <v>2535729</v>
      </c>
      <c r="E164" s="1">
        <f>_xlfn.XLOOKUP($C164,'Plaza SP Tar'!$C:$C,'Plaza SP Tar'!E:E)</f>
        <v>2767829.3618917959</v>
      </c>
      <c r="F164" s="1">
        <v>10000</v>
      </c>
      <c r="G164" s="1">
        <f>_xlfn.XLOOKUP($C164,'Plaza SP Tar'!$C:$C,'Plaza SP Tar'!F:F)</f>
        <v>3163233.5564477667</v>
      </c>
      <c r="H164" s="1">
        <v>18000</v>
      </c>
      <c r="I164" s="1">
        <f>_xlfn.XLOOKUP($C164,'Plaza SP Tar'!$C:$C,'Plaza SP Tar'!G:G)</f>
        <v>3479556.9120925432</v>
      </c>
      <c r="J164" s="1">
        <v>25000</v>
      </c>
      <c r="K164" s="1">
        <f>_xlfn.XLOOKUP($C164,'Plaza SP Tar'!$C:$C,'Plaza SP Tar'!H:H)</f>
        <v>3795880.2677373202</v>
      </c>
      <c r="L164" s="1">
        <v>30000</v>
      </c>
      <c r="M164" s="1">
        <f>_xlfn.XLOOKUP($C164,'Plaza SP Tar'!$C:$C,'Plaza SP Tar'!I:I)</f>
        <v>4112203.6233820966</v>
      </c>
      <c r="N164" s="1">
        <v>40000</v>
      </c>
      <c r="O164" s="1">
        <f>_xlfn.XLOOKUP($C164,'Plaza SP Tar'!$C:$C,'Plaza SP Tar'!J:J)</f>
        <v>4428526.9790268736</v>
      </c>
      <c r="P164" s="1">
        <v>45000</v>
      </c>
      <c r="Q164" s="1">
        <f>_xlfn.XLOOKUP($C164,'Plaza SP Tar'!$C:$C,'Plaza SP Tar'!K:K)</f>
        <v>4744850.3346716501</v>
      </c>
      <c r="R164">
        <v>50000</v>
      </c>
    </row>
    <row r="165" spans="1:18" x14ac:dyDescent="0.25">
      <c r="A165" t="s">
        <v>151</v>
      </c>
      <c r="B165" t="s">
        <v>168</v>
      </c>
      <c r="C165" t="s">
        <v>180</v>
      </c>
      <c r="D165" s="1">
        <v>3240089</v>
      </c>
      <c r="E165" s="1">
        <f>_xlfn.XLOOKUP($C165,'Plaza SP Tar'!$C:$C,'Plaza SP Tar'!E:E)</f>
        <v>3536660.8455961295</v>
      </c>
      <c r="F165" s="1">
        <v>10000</v>
      </c>
      <c r="G165" s="1">
        <f>_xlfn.XLOOKUP($C165,'Plaza SP Tar'!$C:$C,'Plaza SP Tar'!F:F)</f>
        <v>4041898.1092527192</v>
      </c>
      <c r="H165" s="1">
        <v>18000</v>
      </c>
      <c r="I165" s="1">
        <f>_xlfn.XLOOKUP($C165,'Plaza SP Tar'!$C:$C,'Plaza SP Tar'!G:G)</f>
        <v>4446087.9201779906</v>
      </c>
      <c r="J165" s="1">
        <v>25000</v>
      </c>
      <c r="K165" s="1">
        <f>_xlfn.XLOOKUP($C165,'Plaza SP Tar'!$C:$C,'Plaza SP Tar'!H:H)</f>
        <v>4850277.7311032629</v>
      </c>
      <c r="L165" s="1">
        <v>30000</v>
      </c>
      <c r="M165" s="1">
        <f>_xlfn.XLOOKUP($C165,'Plaza SP Tar'!$C:$C,'Plaza SP Tar'!I:I)</f>
        <v>5254467.5420285352</v>
      </c>
      <c r="N165" s="1">
        <v>40000</v>
      </c>
      <c r="O165" s="1">
        <f>_xlfn.XLOOKUP($C165,'Plaza SP Tar'!$C:$C,'Plaza SP Tar'!J:J)</f>
        <v>5658657.3529538065</v>
      </c>
      <c r="P165" s="1">
        <v>45000</v>
      </c>
      <c r="Q165" s="1">
        <f>_xlfn.XLOOKUP($C165,'Plaza SP Tar'!$C:$C,'Plaza SP Tar'!K:K)</f>
        <v>6062847.1638790788</v>
      </c>
      <c r="R165">
        <v>50000</v>
      </c>
    </row>
    <row r="166" spans="1:18" x14ac:dyDescent="0.25">
      <c r="A166" t="s">
        <v>151</v>
      </c>
      <c r="B166" t="s">
        <v>168</v>
      </c>
      <c r="C166" t="s">
        <v>181</v>
      </c>
      <c r="D166" s="1">
        <v>2165402</v>
      </c>
      <c r="E166" s="1">
        <f>_xlfn.XLOOKUP($C166,'Plaza SP Tar'!$C:$C,'Plaza SP Tar'!E:E)</f>
        <v>2363605.5887278249</v>
      </c>
      <c r="F166" s="1">
        <v>10000</v>
      </c>
      <c r="G166" s="1">
        <f>_xlfn.XLOOKUP($C166,'Plaza SP Tar'!$C:$C,'Plaza SP Tar'!F:F)</f>
        <v>2701263.5299746571</v>
      </c>
      <c r="H166" s="1">
        <v>18000</v>
      </c>
      <c r="I166" s="1">
        <f>_xlfn.XLOOKUP($C166,'Plaza SP Tar'!$C:$C,'Plaza SP Tar'!G:G)</f>
        <v>2971389.8829721226</v>
      </c>
      <c r="J166" s="1">
        <v>25000</v>
      </c>
      <c r="K166" s="1">
        <f>_xlfn.XLOOKUP($C166,'Plaza SP Tar'!$C:$C,'Plaza SP Tar'!H:H)</f>
        <v>3241516.2359695882</v>
      </c>
      <c r="L166" s="1">
        <v>30000</v>
      </c>
      <c r="M166" s="1">
        <f>_xlfn.XLOOKUP($C166,'Plaza SP Tar'!$C:$C,'Plaza SP Tar'!I:I)</f>
        <v>3511642.5889670542</v>
      </c>
      <c r="N166" s="1">
        <v>40000</v>
      </c>
      <c r="O166" s="1">
        <f>_xlfn.XLOOKUP($C166,'Plaza SP Tar'!$C:$C,'Plaza SP Tar'!J:J)</f>
        <v>3781768.9419645197</v>
      </c>
      <c r="P166" s="1">
        <v>45000</v>
      </c>
      <c r="Q166" s="1">
        <f>_xlfn.XLOOKUP($C166,'Plaza SP Tar'!$C:$C,'Plaza SP Tar'!K:K)</f>
        <v>4051895.2949619852</v>
      </c>
      <c r="R166">
        <v>50000</v>
      </c>
    </row>
    <row r="167" spans="1:18" x14ac:dyDescent="0.25">
      <c r="A167" t="s">
        <v>151</v>
      </c>
      <c r="B167" t="s">
        <v>182</v>
      </c>
      <c r="C167" t="s">
        <v>183</v>
      </c>
      <c r="D167" s="1">
        <v>6017287</v>
      </c>
      <c r="E167" s="1">
        <f>_xlfn.XLOOKUP($C167,'Plaza SP Tar'!$C:$C,'Plaza SP Tar'!E:E)</f>
        <v>6568061.3494304009</v>
      </c>
      <c r="F167" s="1">
        <v>10000</v>
      </c>
      <c r="G167" s="1">
        <f>_xlfn.XLOOKUP($C167,'Plaza SP Tar'!$C:$C,'Plaza SP Tar'!F:F)</f>
        <v>7506355.8279204573</v>
      </c>
      <c r="H167" s="1">
        <v>18000</v>
      </c>
      <c r="I167" s="1">
        <f>_xlfn.XLOOKUP($C167,'Plaza SP Tar'!$C:$C,'Plaza SP Tar'!G:G)</f>
        <v>8256991.410712502</v>
      </c>
      <c r="J167" s="1">
        <v>25000</v>
      </c>
      <c r="K167" s="1">
        <f>_xlfn.XLOOKUP($C167,'Plaza SP Tar'!$C:$C,'Plaza SP Tar'!H:H)</f>
        <v>9007626.9935045484</v>
      </c>
      <c r="L167" s="1">
        <v>30000</v>
      </c>
      <c r="M167" s="1">
        <f>_xlfn.XLOOKUP($C167,'Plaza SP Tar'!$C:$C,'Plaza SP Tar'!I:I)</f>
        <v>9758262.576296594</v>
      </c>
      <c r="N167" s="1">
        <v>40000</v>
      </c>
      <c r="O167" s="1">
        <f>_xlfn.XLOOKUP($C167,'Plaza SP Tar'!$C:$C,'Plaza SP Tar'!J:J)</f>
        <v>10508898.15908864</v>
      </c>
      <c r="P167" s="1">
        <v>45000</v>
      </c>
      <c r="Q167" s="1">
        <f>_xlfn.XLOOKUP($C167,'Plaza SP Tar'!$C:$C,'Plaza SP Tar'!K:K)</f>
        <v>11259533.741880685</v>
      </c>
      <c r="R167">
        <v>50000</v>
      </c>
    </row>
    <row r="168" spans="1:18" x14ac:dyDescent="0.25">
      <c r="A168" t="s">
        <v>151</v>
      </c>
      <c r="B168" t="s">
        <v>182</v>
      </c>
      <c r="C168" t="s">
        <v>184</v>
      </c>
      <c r="D168" s="1">
        <v>4672404</v>
      </c>
      <c r="E168" s="1">
        <f>_xlfn.XLOOKUP($C168,'Plaza SP Tar'!$C:$C,'Plaza SP Tar'!E:E)</f>
        <v>5100078.5106849652</v>
      </c>
      <c r="F168" s="1">
        <v>10000</v>
      </c>
      <c r="G168" s="1">
        <f>_xlfn.XLOOKUP($C168,'Plaza SP Tar'!$C:$C,'Plaza SP Tar'!F:F)</f>
        <v>5828661.1550685316</v>
      </c>
      <c r="H168" s="1">
        <v>18000</v>
      </c>
      <c r="I168" s="1">
        <f>_xlfn.XLOOKUP($C168,'Plaza SP Tar'!$C:$C,'Plaza SP Tar'!G:G)</f>
        <v>6411527.2705753837</v>
      </c>
      <c r="J168" s="1">
        <v>25000</v>
      </c>
      <c r="K168" s="1">
        <f>_xlfn.XLOOKUP($C168,'Plaza SP Tar'!$C:$C,'Plaza SP Tar'!H:H)</f>
        <v>6994393.3860822367</v>
      </c>
      <c r="L168" s="1">
        <v>30000</v>
      </c>
      <c r="M168" s="1">
        <f>_xlfn.XLOOKUP($C168,'Plaza SP Tar'!$C:$C,'Plaza SP Tar'!I:I)</f>
        <v>7577259.5015890906</v>
      </c>
      <c r="N168" s="1">
        <v>40000</v>
      </c>
      <c r="O168" s="1">
        <f>_xlfn.XLOOKUP($C168,'Plaza SP Tar'!$C:$C,'Plaza SP Tar'!J:J)</f>
        <v>8160125.6170959426</v>
      </c>
      <c r="P168" s="1">
        <v>45000</v>
      </c>
      <c r="Q168" s="1">
        <f>_xlfn.XLOOKUP($C168,'Plaza SP Tar'!$C:$C,'Plaza SP Tar'!K:K)</f>
        <v>8742991.7326027956</v>
      </c>
      <c r="R168">
        <v>50000</v>
      </c>
    </row>
    <row r="169" spans="1:18" x14ac:dyDescent="0.25">
      <c r="A169" t="s">
        <v>151</v>
      </c>
      <c r="B169" t="s">
        <v>182</v>
      </c>
      <c r="C169" t="s">
        <v>185</v>
      </c>
      <c r="D169" s="1">
        <v>4691263</v>
      </c>
      <c r="E169" s="1">
        <f>_xlfn.XLOOKUP($C169,'Plaza SP Tar'!$C:$C,'Plaza SP Tar'!E:E)</f>
        <v>5120663.7127849991</v>
      </c>
      <c r="F169" s="1">
        <v>10000</v>
      </c>
      <c r="G169" s="1">
        <f>_xlfn.XLOOKUP($C169,'Plaza SP Tar'!$C:$C,'Plaza SP Tar'!F:F)</f>
        <v>5852187.1003257129</v>
      </c>
      <c r="H169" s="1">
        <v>18000</v>
      </c>
      <c r="I169" s="1">
        <f>_xlfn.XLOOKUP($C169,'Plaza SP Tar'!$C:$C,'Plaza SP Tar'!G:G)</f>
        <v>6437405.810358284</v>
      </c>
      <c r="J169" s="1">
        <v>25000</v>
      </c>
      <c r="K169" s="1">
        <f>_xlfn.XLOOKUP($C169,'Plaza SP Tar'!$C:$C,'Plaza SP Tar'!H:H)</f>
        <v>7022624.5203908551</v>
      </c>
      <c r="L169" s="1">
        <v>30000</v>
      </c>
      <c r="M169" s="1">
        <f>_xlfn.XLOOKUP($C169,'Plaza SP Tar'!$C:$C,'Plaza SP Tar'!I:I)</f>
        <v>7607843.2304234272</v>
      </c>
      <c r="N169" s="1">
        <v>40000</v>
      </c>
      <c r="O169" s="1">
        <f>_xlfn.XLOOKUP($C169,'Plaza SP Tar'!$C:$C,'Plaza SP Tar'!J:J)</f>
        <v>8193061.9404559974</v>
      </c>
      <c r="P169" s="1">
        <v>45000</v>
      </c>
      <c r="Q169" s="1">
        <f>_xlfn.XLOOKUP($C169,'Plaza SP Tar'!$C:$C,'Plaza SP Tar'!K:K)</f>
        <v>8778280.6504885685</v>
      </c>
      <c r="R169">
        <v>50000</v>
      </c>
    </row>
    <row r="170" spans="1:18" x14ac:dyDescent="0.25">
      <c r="A170" t="s">
        <v>151</v>
      </c>
      <c r="B170" t="s">
        <v>182</v>
      </c>
      <c r="C170" t="s">
        <v>186</v>
      </c>
      <c r="D170" s="1">
        <v>3338646</v>
      </c>
      <c r="E170" s="1">
        <f>_xlfn.XLOOKUP($C170,'Plaza SP Tar'!$C:$C,'Plaza SP Tar'!E:E)</f>
        <v>3644238.9655056191</v>
      </c>
      <c r="F170" s="1">
        <v>10000</v>
      </c>
      <c r="G170" s="1">
        <f>_xlfn.XLOOKUP($C170,'Plaza SP Tar'!$C:$C,'Plaza SP Tar'!F:F)</f>
        <v>4164844.5320064216</v>
      </c>
      <c r="H170" s="1">
        <v>18000</v>
      </c>
      <c r="I170" s="1">
        <f>_xlfn.XLOOKUP($C170,'Plaza SP Tar'!$C:$C,'Plaza SP Tar'!G:G)</f>
        <v>4581328.9852070631</v>
      </c>
      <c r="J170" s="1">
        <v>25000</v>
      </c>
      <c r="K170" s="1">
        <f>_xlfn.XLOOKUP($C170,'Plaza SP Tar'!$C:$C,'Plaza SP Tar'!H:H)</f>
        <v>4997813.4384077052</v>
      </c>
      <c r="L170" s="1">
        <v>30000</v>
      </c>
      <c r="M170" s="1">
        <f>_xlfn.XLOOKUP($C170,'Plaza SP Tar'!$C:$C,'Plaza SP Tar'!I:I)</f>
        <v>5414297.8916083481</v>
      </c>
      <c r="N170" s="1">
        <v>40000</v>
      </c>
      <c r="O170" s="1">
        <f>_xlfn.XLOOKUP($C170,'Plaza SP Tar'!$C:$C,'Plaza SP Tar'!J:J)</f>
        <v>5830782.3448089892</v>
      </c>
      <c r="P170" s="1">
        <v>45000</v>
      </c>
      <c r="Q170" s="1">
        <f>_xlfn.XLOOKUP($C170,'Plaza SP Tar'!$C:$C,'Plaza SP Tar'!K:K)</f>
        <v>6247266.7980096322</v>
      </c>
      <c r="R170">
        <v>50000</v>
      </c>
    </row>
    <row r="171" spans="1:18" x14ac:dyDescent="0.25">
      <c r="A171" t="s">
        <v>151</v>
      </c>
      <c r="B171" t="s">
        <v>182</v>
      </c>
      <c r="C171" t="s">
        <v>187</v>
      </c>
      <c r="D171" s="1">
        <v>3889523</v>
      </c>
      <c r="E171" s="1">
        <f>_xlfn.XLOOKUP($C171,'Plaza SP Tar'!$C:$C,'Plaza SP Tar'!E:E)</f>
        <v>4245538.8423421681</v>
      </c>
      <c r="F171" s="1">
        <v>10000</v>
      </c>
      <c r="G171" s="1">
        <f>_xlfn.XLOOKUP($C171,'Plaza SP Tar'!$C:$C,'Plaza SP Tar'!F:F)</f>
        <v>4852044.3912481926</v>
      </c>
      <c r="H171" s="1">
        <v>18000</v>
      </c>
      <c r="I171" s="1">
        <f>_xlfn.XLOOKUP($C171,'Plaza SP Tar'!$C:$C,'Plaza SP Tar'!G:G)</f>
        <v>5337248.8303730106</v>
      </c>
      <c r="J171" s="1">
        <v>25000</v>
      </c>
      <c r="K171" s="1">
        <f>_xlfn.XLOOKUP($C171,'Plaza SP Tar'!$C:$C,'Plaza SP Tar'!H:H)</f>
        <v>5822453.2694978304</v>
      </c>
      <c r="L171" s="1">
        <v>30000</v>
      </c>
      <c r="M171" s="1">
        <f>_xlfn.XLOOKUP($C171,'Plaza SP Tar'!$C:$C,'Plaza SP Tar'!I:I)</f>
        <v>6307657.7086226502</v>
      </c>
      <c r="N171" s="1">
        <v>40000</v>
      </c>
      <c r="O171" s="1">
        <f>_xlfn.XLOOKUP($C171,'Plaza SP Tar'!$C:$C,'Plaza SP Tar'!J:J)</f>
        <v>6792862.1477474682</v>
      </c>
      <c r="P171" s="1">
        <v>45000</v>
      </c>
      <c r="Q171" s="1">
        <f>_xlfn.XLOOKUP($C171,'Plaza SP Tar'!$C:$C,'Plaza SP Tar'!K:K)</f>
        <v>7278066.586872288</v>
      </c>
      <c r="R171">
        <v>50000</v>
      </c>
    </row>
    <row r="172" spans="1:18" x14ac:dyDescent="0.25">
      <c r="A172" t="s">
        <v>151</v>
      </c>
      <c r="B172" t="s">
        <v>182</v>
      </c>
      <c r="C172" t="s">
        <v>188</v>
      </c>
      <c r="D172" s="1">
        <v>6900068</v>
      </c>
      <c r="E172" s="1">
        <f>_xlfn.XLOOKUP($C172,'Plaza SP Tar'!$C:$C,'Plaza SP Tar'!E:E)</f>
        <v>7531645.0651666643</v>
      </c>
      <c r="F172" s="1">
        <v>10000</v>
      </c>
      <c r="G172" s="1">
        <f>_xlfn.XLOOKUP($C172,'Plaza SP Tar'!$C:$C,'Plaza SP Tar'!F:F)</f>
        <v>8607594.3601904735</v>
      </c>
      <c r="H172" s="1">
        <v>18000</v>
      </c>
      <c r="I172" s="1">
        <f>_xlfn.XLOOKUP($C172,'Plaza SP Tar'!$C:$C,'Plaza SP Tar'!G:G)</f>
        <v>9468353.7962095197</v>
      </c>
      <c r="J172" s="1">
        <v>25000</v>
      </c>
      <c r="K172" s="1">
        <f>_xlfn.XLOOKUP($C172,'Plaza SP Tar'!$C:$C,'Plaza SP Tar'!H:H)</f>
        <v>10329113.232228568</v>
      </c>
      <c r="L172" s="1">
        <v>30000</v>
      </c>
      <c r="M172" s="1">
        <f>_xlfn.XLOOKUP($C172,'Plaza SP Tar'!$C:$C,'Plaza SP Tar'!I:I)</f>
        <v>11189872.668247616</v>
      </c>
      <c r="N172" s="1">
        <v>40000</v>
      </c>
      <c r="O172" s="1">
        <f>_xlfn.XLOOKUP($C172,'Plaza SP Tar'!$C:$C,'Plaza SP Tar'!J:J)</f>
        <v>12050632.104266662</v>
      </c>
      <c r="P172" s="1">
        <v>45000</v>
      </c>
      <c r="Q172" s="1">
        <f>_xlfn.XLOOKUP($C172,'Plaza SP Tar'!$C:$C,'Plaza SP Tar'!K:K)</f>
        <v>12911391.54028571</v>
      </c>
      <c r="R172">
        <v>50000</v>
      </c>
    </row>
    <row r="173" spans="1:18" x14ac:dyDescent="0.25">
      <c r="A173" t="s">
        <v>151</v>
      </c>
      <c r="B173" t="s">
        <v>182</v>
      </c>
      <c r="C173" t="s">
        <v>189</v>
      </c>
      <c r="D173" s="1">
        <v>2390166</v>
      </c>
      <c r="E173" s="1">
        <f>_xlfn.XLOOKUP($C173,'Plaza SP Tar'!$C:$C,'Plaza SP Tar'!E:E)</f>
        <v>2608942.6885110619</v>
      </c>
      <c r="F173" s="1">
        <v>10000</v>
      </c>
      <c r="G173" s="1">
        <f>_xlfn.XLOOKUP($C173,'Plaza SP Tar'!$C:$C,'Plaza SP Tar'!F:F)</f>
        <v>2981648.7868697848</v>
      </c>
      <c r="H173" s="1">
        <v>18000</v>
      </c>
      <c r="I173" s="1">
        <f>_xlfn.XLOOKUP($C173,'Plaza SP Tar'!$C:$C,'Plaza SP Tar'!G:G)</f>
        <v>3279813.6655567633</v>
      </c>
      <c r="J173" s="1">
        <v>25000</v>
      </c>
      <c r="K173" s="1">
        <f>_xlfn.XLOOKUP($C173,'Plaza SP Tar'!$C:$C,'Plaza SP Tar'!H:H)</f>
        <v>3577978.5442437418</v>
      </c>
      <c r="L173" s="1">
        <v>30000</v>
      </c>
      <c r="M173" s="1">
        <f>_xlfn.XLOOKUP($C173,'Plaza SP Tar'!$C:$C,'Plaza SP Tar'!I:I)</f>
        <v>3876143.4229307203</v>
      </c>
      <c r="N173" s="1">
        <v>40000</v>
      </c>
      <c r="O173" s="1">
        <f>_xlfn.XLOOKUP($C173,'Plaza SP Tar'!$C:$C,'Plaza SP Tar'!J:J)</f>
        <v>4174308.3016176987</v>
      </c>
      <c r="P173" s="1">
        <v>45000</v>
      </c>
      <c r="Q173" s="1">
        <f>_xlfn.XLOOKUP($C173,'Plaza SP Tar'!$C:$C,'Plaza SP Tar'!K:K)</f>
        <v>4472473.1803046772</v>
      </c>
      <c r="R173">
        <v>50000</v>
      </c>
    </row>
    <row r="174" spans="1:18" x14ac:dyDescent="0.25">
      <c r="A174" t="s">
        <v>151</v>
      </c>
      <c r="B174" t="s">
        <v>182</v>
      </c>
      <c r="C174" t="s">
        <v>190</v>
      </c>
      <c r="D174" s="1">
        <v>2969773</v>
      </c>
      <c r="E174" s="1">
        <f>_xlfn.XLOOKUP($C174,'Plaza SP Tar'!$C:$C,'Plaza SP Tar'!E:E)</f>
        <v>3241602.2798782852</v>
      </c>
      <c r="F174" s="1">
        <v>10000</v>
      </c>
      <c r="G174" s="1">
        <f>_xlfn.XLOOKUP($C174,'Plaza SP Tar'!$C:$C,'Plaza SP Tar'!F:F)</f>
        <v>3704688.3198608975</v>
      </c>
      <c r="H174" s="1">
        <v>18000</v>
      </c>
      <c r="I174" s="1">
        <f>_xlfn.XLOOKUP($C174,'Plaza SP Tar'!$C:$C,'Plaza SP Tar'!G:G)</f>
        <v>4075157.1518469867</v>
      </c>
      <c r="J174" s="1">
        <v>25000</v>
      </c>
      <c r="K174" s="1">
        <f>_xlfn.XLOOKUP($C174,'Plaza SP Tar'!$C:$C,'Plaza SP Tar'!H:H)</f>
        <v>4445625.9838330764</v>
      </c>
      <c r="L174" s="1">
        <v>30000</v>
      </c>
      <c r="M174" s="1">
        <f>_xlfn.XLOOKUP($C174,'Plaza SP Tar'!$C:$C,'Plaza SP Tar'!I:I)</f>
        <v>4816094.8158191666</v>
      </c>
      <c r="N174" s="1">
        <v>40000</v>
      </c>
      <c r="O174" s="1">
        <f>_xlfn.XLOOKUP($C174,'Plaza SP Tar'!$C:$C,'Plaza SP Tar'!J:J)</f>
        <v>5186563.6478052558</v>
      </c>
      <c r="P174" s="1">
        <v>45000</v>
      </c>
      <c r="Q174" s="1">
        <f>_xlfn.XLOOKUP($C174,'Plaza SP Tar'!$C:$C,'Plaza SP Tar'!K:K)</f>
        <v>5557032.479791346</v>
      </c>
      <c r="R174">
        <v>50000</v>
      </c>
    </row>
    <row r="175" spans="1:18" x14ac:dyDescent="0.25">
      <c r="A175" t="s">
        <v>151</v>
      </c>
      <c r="B175" t="s">
        <v>182</v>
      </c>
      <c r="C175" t="s">
        <v>191</v>
      </c>
      <c r="D175" s="1">
        <v>4026323</v>
      </c>
      <c r="E175" s="1">
        <f>_xlfn.XLOOKUP($C175,'Plaza SP Tar'!$C:$C,'Plaza SP Tar'!E:E)</f>
        <v>4394860.4207548453</v>
      </c>
      <c r="F175" s="1">
        <v>10000</v>
      </c>
      <c r="G175" s="1">
        <f>_xlfn.XLOOKUP($C175,'Plaza SP Tar'!$C:$C,'Plaza SP Tar'!F:F)</f>
        <v>5022697.6237198226</v>
      </c>
      <c r="H175" s="1">
        <v>18000</v>
      </c>
      <c r="I175" s="1">
        <f>_xlfn.XLOOKUP($C175,'Plaza SP Tar'!$C:$C,'Plaza SP Tar'!G:G)</f>
        <v>5524967.3860918041</v>
      </c>
      <c r="J175" s="1">
        <v>25000</v>
      </c>
      <c r="K175" s="1">
        <f>_xlfn.XLOOKUP($C175,'Plaza SP Tar'!$C:$C,'Plaza SP Tar'!H:H)</f>
        <v>6027237.1484637866</v>
      </c>
      <c r="L175" s="1">
        <v>30000</v>
      </c>
      <c r="M175" s="1">
        <f>_xlfn.XLOOKUP($C175,'Plaza SP Tar'!$C:$C,'Plaza SP Tar'!I:I)</f>
        <v>6529506.910835769</v>
      </c>
      <c r="N175" s="1">
        <v>40000</v>
      </c>
      <c r="O175" s="1">
        <f>_xlfn.XLOOKUP($C175,'Plaza SP Tar'!$C:$C,'Plaza SP Tar'!J:J)</f>
        <v>7031776.6732077505</v>
      </c>
      <c r="P175" s="1">
        <v>45000</v>
      </c>
      <c r="Q175" s="1">
        <f>_xlfn.XLOOKUP($C175,'Plaza SP Tar'!$C:$C,'Plaza SP Tar'!K:K)</f>
        <v>7534046.435579733</v>
      </c>
      <c r="R175">
        <v>50000</v>
      </c>
    </row>
    <row r="176" spans="1:18" x14ac:dyDescent="0.25">
      <c r="A176" t="s">
        <v>151</v>
      </c>
      <c r="B176" t="s">
        <v>182</v>
      </c>
      <c r="C176" t="s">
        <v>192</v>
      </c>
      <c r="D176" s="1">
        <v>2689387</v>
      </c>
      <c r="E176" s="1">
        <f>_xlfn.XLOOKUP($C176,'Plaza SP Tar'!$C:$C,'Plaza SP Tar'!E:E)</f>
        <v>2935551.9868606194</v>
      </c>
      <c r="F176" s="1">
        <v>10000</v>
      </c>
      <c r="G176" s="1">
        <f>_xlfn.XLOOKUP($C176,'Plaza SP Tar'!$C:$C,'Plaza SP Tar'!F:F)</f>
        <v>3354916.5564121366</v>
      </c>
      <c r="H176" s="1">
        <v>18000</v>
      </c>
      <c r="I176" s="1">
        <f>_xlfn.XLOOKUP($C176,'Plaza SP Tar'!$C:$C,'Plaza SP Tar'!G:G)</f>
        <v>3690408.2120533497</v>
      </c>
      <c r="J176" s="1">
        <v>25000</v>
      </c>
      <c r="K176" s="1">
        <f>_xlfn.XLOOKUP($C176,'Plaza SP Tar'!$C:$C,'Plaza SP Tar'!H:H)</f>
        <v>4025899.8676945637</v>
      </c>
      <c r="L176" s="1">
        <v>30000</v>
      </c>
      <c r="M176" s="1">
        <f>_xlfn.XLOOKUP($C176,'Plaza SP Tar'!$C:$C,'Plaza SP Tar'!I:I)</f>
        <v>4361391.5233357772</v>
      </c>
      <c r="N176" s="1">
        <v>40000</v>
      </c>
      <c r="O176" s="1">
        <f>_xlfn.XLOOKUP($C176,'Plaza SP Tar'!$C:$C,'Plaza SP Tar'!J:J)</f>
        <v>4696883.1789769903</v>
      </c>
      <c r="P176" s="1">
        <v>45000</v>
      </c>
      <c r="Q176" s="1">
        <f>_xlfn.XLOOKUP($C176,'Plaza SP Tar'!$C:$C,'Plaza SP Tar'!K:K)</f>
        <v>5032374.8346182043</v>
      </c>
      <c r="R176">
        <v>50000</v>
      </c>
    </row>
    <row r="177" spans="1:18" x14ac:dyDescent="0.25">
      <c r="A177" t="s">
        <v>151</v>
      </c>
      <c r="B177" t="s">
        <v>182</v>
      </c>
      <c r="C177" t="s">
        <v>193</v>
      </c>
      <c r="D177" s="1">
        <v>3452421</v>
      </c>
      <c r="E177" s="1">
        <f>_xlfn.XLOOKUP($C177,'Plaza SP Tar'!$C:$C,'Plaza SP Tar'!E:E)</f>
        <v>3768428.0194815127</v>
      </c>
      <c r="F177" s="1">
        <v>10000</v>
      </c>
      <c r="G177" s="1">
        <f>_xlfn.XLOOKUP($C177,'Plaza SP Tar'!$C:$C,'Plaza SP Tar'!F:F)</f>
        <v>4306774.8794074431</v>
      </c>
      <c r="H177" s="1">
        <v>18000</v>
      </c>
      <c r="I177" s="1">
        <f>_xlfn.XLOOKUP($C177,'Plaza SP Tar'!$C:$C,'Plaza SP Tar'!G:G)</f>
        <v>4737452.3673481867</v>
      </c>
      <c r="J177" s="1">
        <v>25000</v>
      </c>
      <c r="K177" s="1">
        <f>_xlfn.XLOOKUP($C177,'Plaza SP Tar'!$C:$C,'Plaza SP Tar'!H:H)</f>
        <v>5168129.8552889312</v>
      </c>
      <c r="L177" s="1">
        <v>30000</v>
      </c>
      <c r="M177" s="1">
        <f>_xlfn.XLOOKUP($C177,'Plaza SP Tar'!$C:$C,'Plaza SP Tar'!I:I)</f>
        <v>5598807.3432296757</v>
      </c>
      <c r="N177" s="1">
        <v>40000</v>
      </c>
      <c r="O177" s="1">
        <f>_xlfn.XLOOKUP($C177,'Plaza SP Tar'!$C:$C,'Plaza SP Tar'!J:J)</f>
        <v>6029484.8311704192</v>
      </c>
      <c r="P177" s="1">
        <v>45000</v>
      </c>
      <c r="Q177" s="1">
        <f>_xlfn.XLOOKUP($C177,'Plaza SP Tar'!$C:$C,'Plaza SP Tar'!K:K)</f>
        <v>6460162.3191111637</v>
      </c>
      <c r="R177">
        <v>50000</v>
      </c>
    </row>
    <row r="178" spans="1:18" x14ac:dyDescent="0.25">
      <c r="A178" t="s">
        <v>151</v>
      </c>
      <c r="B178" t="s">
        <v>182</v>
      </c>
      <c r="C178" t="s">
        <v>194</v>
      </c>
      <c r="D178" s="1">
        <v>4683000</v>
      </c>
      <c r="E178" s="1">
        <f>_xlfn.XLOOKUP($C178,'Plaza SP Tar'!$C:$C,'Plaza SP Tar'!E:E)</f>
        <v>5111644.3838199116</v>
      </c>
      <c r="F178" s="1">
        <v>10000</v>
      </c>
      <c r="G178" s="1">
        <f>_xlfn.XLOOKUP($C178,'Plaza SP Tar'!$C:$C,'Plaza SP Tar'!F:F)</f>
        <v>5841879.2957941843</v>
      </c>
      <c r="H178" s="1">
        <v>18000</v>
      </c>
      <c r="I178" s="1">
        <f>_xlfn.XLOOKUP($C178,'Plaza SP Tar'!$C:$C,'Plaza SP Tar'!G:G)</f>
        <v>6426067.2253736025</v>
      </c>
      <c r="J178" s="1">
        <v>25000</v>
      </c>
      <c r="K178" s="1">
        <f>_xlfn.XLOOKUP($C178,'Plaza SP Tar'!$C:$C,'Plaza SP Tar'!H:H)</f>
        <v>7010255.1549530216</v>
      </c>
      <c r="L178" s="1">
        <v>30000</v>
      </c>
      <c r="M178" s="1">
        <f>_xlfn.XLOOKUP($C178,'Plaza SP Tar'!$C:$C,'Plaza SP Tar'!I:I)</f>
        <v>7594443.0845324397</v>
      </c>
      <c r="N178" s="1">
        <v>40000</v>
      </c>
      <c r="O178" s="1">
        <f>_xlfn.XLOOKUP($C178,'Plaza SP Tar'!$C:$C,'Plaza SP Tar'!J:J)</f>
        <v>8178631.0141118579</v>
      </c>
      <c r="P178" s="1">
        <v>45000</v>
      </c>
      <c r="Q178" s="1">
        <f>_xlfn.XLOOKUP($C178,'Plaza SP Tar'!$C:$C,'Plaza SP Tar'!K:K)</f>
        <v>8762818.943691276</v>
      </c>
      <c r="R178">
        <v>50000</v>
      </c>
    </row>
    <row r="179" spans="1:18" x14ac:dyDescent="0.25">
      <c r="A179" t="s">
        <v>151</v>
      </c>
      <c r="B179" t="s">
        <v>182</v>
      </c>
      <c r="C179" t="s">
        <v>195</v>
      </c>
      <c r="D179" s="1">
        <v>5228649</v>
      </c>
      <c r="E179" s="1">
        <f>_xlfn.XLOOKUP($C179,'Plaza SP Tar'!$C:$C,'Plaza SP Tar'!E:E)</f>
        <v>5707237.7313294038</v>
      </c>
      <c r="F179" s="1">
        <v>10000</v>
      </c>
      <c r="G179" s="1">
        <f>_xlfn.XLOOKUP($C179,'Plaza SP Tar'!$C:$C,'Plaza SP Tar'!F:F)</f>
        <v>6522557.4072336042</v>
      </c>
      <c r="H179" s="1">
        <v>18000</v>
      </c>
      <c r="I179" s="1">
        <f>_xlfn.XLOOKUP($C179,'Plaza SP Tar'!$C:$C,'Plaza SP Tar'!G:G)</f>
        <v>7174813.1479569636</v>
      </c>
      <c r="J179" s="1">
        <v>25000</v>
      </c>
      <c r="K179" s="1">
        <f>_xlfn.XLOOKUP($C179,'Plaza SP Tar'!$C:$C,'Plaza SP Tar'!H:H)</f>
        <v>7827068.8886803249</v>
      </c>
      <c r="L179" s="1">
        <v>30000</v>
      </c>
      <c r="M179" s="1">
        <f>_xlfn.XLOOKUP($C179,'Plaza SP Tar'!$C:$C,'Plaza SP Tar'!I:I)</f>
        <v>8479324.6294036862</v>
      </c>
      <c r="N179" s="1">
        <v>40000</v>
      </c>
      <c r="O179" s="1">
        <f>_xlfn.XLOOKUP($C179,'Plaza SP Tar'!$C:$C,'Plaza SP Tar'!J:J)</f>
        <v>9131580.3701270446</v>
      </c>
      <c r="P179" s="1">
        <v>45000</v>
      </c>
      <c r="Q179" s="1">
        <f>_xlfn.XLOOKUP($C179,'Plaza SP Tar'!$C:$C,'Plaza SP Tar'!K:K)</f>
        <v>9783836.1108504049</v>
      </c>
      <c r="R179">
        <v>50000</v>
      </c>
    </row>
    <row r="180" spans="1:18" x14ac:dyDescent="0.25">
      <c r="A180" t="s">
        <v>151</v>
      </c>
      <c r="B180" t="s">
        <v>182</v>
      </c>
      <c r="C180" t="s">
        <v>196</v>
      </c>
      <c r="D180" s="1">
        <v>9347594</v>
      </c>
      <c r="E180" s="1">
        <f>_xlfn.XLOOKUP($C180,'Plaza SP Tar'!$C:$C,'Plaza SP Tar'!E:E)</f>
        <v>10203198.029538481</v>
      </c>
      <c r="F180" s="1">
        <v>10000</v>
      </c>
      <c r="G180" s="1">
        <f>_xlfn.XLOOKUP($C180,'Plaza SP Tar'!$C:$C,'Plaza SP Tar'!F:F)</f>
        <v>11660797.748043977</v>
      </c>
      <c r="H180" s="1">
        <v>18000</v>
      </c>
      <c r="I180" s="1">
        <f>_xlfn.XLOOKUP($C180,'Plaza SP Tar'!$C:$C,'Plaza SP Tar'!G:G)</f>
        <v>12826877.522848373</v>
      </c>
      <c r="J180" s="1">
        <v>25000</v>
      </c>
      <c r="K180" s="1">
        <f>_xlfn.XLOOKUP($C180,'Plaza SP Tar'!$C:$C,'Plaza SP Tar'!H:H)</f>
        <v>13992957.297652772</v>
      </c>
      <c r="L180" s="1">
        <v>30000</v>
      </c>
      <c r="M180" s="1">
        <f>_xlfn.XLOOKUP($C180,'Plaza SP Tar'!$C:$C,'Plaza SP Tar'!I:I)</f>
        <v>15159037.07245717</v>
      </c>
      <c r="N180" s="1">
        <v>40000</v>
      </c>
      <c r="O180" s="1">
        <f>_xlfn.XLOOKUP($C180,'Plaza SP Tar'!$C:$C,'Plaza SP Tar'!J:J)</f>
        <v>16325116.847261567</v>
      </c>
      <c r="P180" s="1">
        <v>45000</v>
      </c>
      <c r="Q180" s="1">
        <f>_xlfn.XLOOKUP($C180,'Plaza SP Tar'!$C:$C,'Plaza SP Tar'!K:K)</f>
        <v>17491196.622065965</v>
      </c>
      <c r="R180">
        <v>50000</v>
      </c>
    </row>
    <row r="181" spans="1:18" x14ac:dyDescent="0.25">
      <c r="A181" t="s">
        <v>151</v>
      </c>
      <c r="B181" t="s">
        <v>182</v>
      </c>
      <c r="C181" t="s">
        <v>197</v>
      </c>
      <c r="D181" s="1">
        <v>3938489</v>
      </c>
      <c r="E181" s="1">
        <f>_xlfn.XLOOKUP($C181,'Plaza SP Tar'!$C:$C,'Plaza SP Tar'!E:E)</f>
        <v>4298986.798545057</v>
      </c>
      <c r="F181" s="1">
        <v>10000</v>
      </c>
      <c r="G181" s="1">
        <f>_xlfn.XLOOKUP($C181,'Plaza SP Tar'!$C:$C,'Plaza SP Tar'!F:F)</f>
        <v>4913127.7697657794</v>
      </c>
      <c r="H181" s="1">
        <v>18000</v>
      </c>
      <c r="I181" s="1">
        <f>_xlfn.XLOOKUP($C181,'Plaza SP Tar'!$C:$C,'Plaza SP Tar'!G:G)</f>
        <v>5404440.5467423564</v>
      </c>
      <c r="J181" s="1">
        <v>25000</v>
      </c>
      <c r="K181" s="1">
        <f>_xlfn.XLOOKUP($C181,'Plaza SP Tar'!$C:$C,'Plaza SP Tar'!H:H)</f>
        <v>5895753.3237189343</v>
      </c>
      <c r="L181" s="1">
        <v>30000</v>
      </c>
      <c r="M181" s="1">
        <f>_xlfn.XLOOKUP($C181,'Plaza SP Tar'!$C:$C,'Plaza SP Tar'!I:I)</f>
        <v>6387066.1006955123</v>
      </c>
      <c r="N181" s="1">
        <v>40000</v>
      </c>
      <c r="O181" s="1">
        <f>_xlfn.XLOOKUP($C181,'Plaza SP Tar'!$C:$C,'Plaza SP Tar'!J:J)</f>
        <v>6878378.8776720902</v>
      </c>
      <c r="P181" s="1">
        <v>45000</v>
      </c>
      <c r="Q181" s="1">
        <f>_xlfn.XLOOKUP($C181,'Plaza SP Tar'!$C:$C,'Plaza SP Tar'!K:K)</f>
        <v>7369691.6546486681</v>
      </c>
      <c r="R181">
        <v>50000</v>
      </c>
    </row>
    <row r="182" spans="1:18" x14ac:dyDescent="0.25">
      <c r="A182" t="s">
        <v>151</v>
      </c>
      <c r="B182" t="s">
        <v>198</v>
      </c>
      <c r="C182" t="s">
        <v>199</v>
      </c>
      <c r="D182" s="1">
        <v>1975649</v>
      </c>
      <c r="E182" s="1">
        <f>_xlfn.XLOOKUP($C182,'Plaza SP Tar'!$C:$C,'Plaza SP Tar'!E:E)</f>
        <v>2156484.116004575</v>
      </c>
      <c r="F182" s="1">
        <v>10000</v>
      </c>
      <c r="G182" s="1">
        <f>_xlfn.XLOOKUP($C182,'Plaza SP Tar'!$C:$C,'Plaza SP Tar'!F:F)</f>
        <v>2464553.2754338002</v>
      </c>
      <c r="H182" s="1">
        <v>18000</v>
      </c>
      <c r="I182" s="1">
        <f>_xlfn.XLOOKUP($C182,'Plaza SP Tar'!$C:$C,'Plaza SP Tar'!G:G)</f>
        <v>2711008.6029771795</v>
      </c>
      <c r="J182" s="1">
        <v>25000</v>
      </c>
      <c r="K182" s="1">
        <f>_xlfn.XLOOKUP($C182,'Plaza SP Tar'!$C:$C,'Plaza SP Tar'!H:H)</f>
        <v>2957463.9305205597</v>
      </c>
      <c r="L182" s="1">
        <v>30000</v>
      </c>
      <c r="M182" s="1">
        <f>_xlfn.XLOOKUP($C182,'Plaza SP Tar'!$C:$C,'Plaza SP Tar'!I:I)</f>
        <v>3203919.2580639399</v>
      </c>
      <c r="N182" s="1">
        <v>40000</v>
      </c>
      <c r="O182" s="1">
        <f>_xlfn.XLOOKUP($C182,'Plaza SP Tar'!$C:$C,'Plaza SP Tar'!J:J)</f>
        <v>3450374.5856073196</v>
      </c>
      <c r="P182" s="1">
        <v>45000</v>
      </c>
      <c r="Q182" s="1">
        <f>_xlfn.XLOOKUP($C182,'Plaza SP Tar'!$C:$C,'Plaza SP Tar'!K:K)</f>
        <v>3696829.9131506998</v>
      </c>
      <c r="R182">
        <v>50000</v>
      </c>
    </row>
    <row r="183" spans="1:18" x14ac:dyDescent="0.25">
      <c r="A183" t="s">
        <v>151</v>
      </c>
      <c r="B183" t="s">
        <v>198</v>
      </c>
      <c r="C183" t="s">
        <v>200</v>
      </c>
      <c r="D183" s="1">
        <v>3095946</v>
      </c>
      <c r="E183" s="1">
        <f>_xlfn.XLOOKUP($C183,'Plaza SP Tar'!$C:$C,'Plaza SP Tar'!E:E)</f>
        <v>3379324.1476638308</v>
      </c>
      <c r="F183" s="1">
        <v>10000</v>
      </c>
      <c r="G183" s="1">
        <f>_xlfn.XLOOKUP($C183,'Plaza SP Tar'!$C:$C,'Plaza SP Tar'!F:F)</f>
        <v>3862084.7401872352</v>
      </c>
      <c r="H183" s="1">
        <v>18000</v>
      </c>
      <c r="I183" s="1">
        <f>_xlfn.XLOOKUP($C183,'Plaza SP Tar'!$C:$C,'Plaza SP Tar'!G:G)</f>
        <v>4248293.2142059579</v>
      </c>
      <c r="J183" s="1">
        <v>25000</v>
      </c>
      <c r="K183" s="1">
        <f>_xlfn.XLOOKUP($C183,'Plaza SP Tar'!$C:$C,'Plaza SP Tar'!H:H)</f>
        <v>4634501.6882246817</v>
      </c>
      <c r="L183" s="1">
        <v>30000</v>
      </c>
      <c r="M183" s="1">
        <f>_xlfn.XLOOKUP($C183,'Plaza SP Tar'!$C:$C,'Plaza SP Tar'!I:I)</f>
        <v>5020710.1622434063</v>
      </c>
      <c r="N183" s="1">
        <v>40000</v>
      </c>
      <c r="O183" s="1">
        <f>_xlfn.XLOOKUP($C183,'Plaza SP Tar'!$C:$C,'Plaza SP Tar'!J:J)</f>
        <v>5406918.6362621291</v>
      </c>
      <c r="P183" s="1">
        <v>45000</v>
      </c>
      <c r="Q183" s="1">
        <f>_xlfn.XLOOKUP($C183,'Plaza SP Tar'!$C:$C,'Plaza SP Tar'!K:K)</f>
        <v>5793127.1102808528</v>
      </c>
      <c r="R183">
        <v>50000</v>
      </c>
    </row>
    <row r="184" spans="1:18" x14ac:dyDescent="0.25">
      <c r="A184" t="s">
        <v>151</v>
      </c>
      <c r="B184" t="s">
        <v>198</v>
      </c>
      <c r="C184" t="s">
        <v>201</v>
      </c>
      <c r="D184" s="1">
        <v>5708491</v>
      </c>
      <c r="E184" s="1">
        <f>_xlfn.XLOOKUP($C184,'Plaza SP Tar'!$C:$C,'Plaza SP Tar'!E:E)</f>
        <v>6231000.6321239611</v>
      </c>
      <c r="F184" s="1">
        <v>10000</v>
      </c>
      <c r="G184" s="1">
        <f>_xlfn.XLOOKUP($C184,'Plaza SP Tar'!$C:$C,'Plaza SP Tar'!F:F)</f>
        <v>7121143.5795702413</v>
      </c>
      <c r="H184" s="1">
        <v>18000</v>
      </c>
      <c r="I184" s="1">
        <f>_xlfn.XLOOKUP($C184,'Plaza SP Tar'!$C:$C,'Plaza SP Tar'!G:G)</f>
        <v>7833257.9375272645</v>
      </c>
      <c r="J184" s="1">
        <v>25000</v>
      </c>
      <c r="K184" s="1">
        <f>_xlfn.XLOOKUP($C184,'Plaza SP Tar'!$C:$C,'Plaza SP Tar'!H:H)</f>
        <v>8545372.2954842895</v>
      </c>
      <c r="L184" s="1">
        <v>30000</v>
      </c>
      <c r="M184" s="1">
        <f>_xlfn.XLOOKUP($C184,'Plaza SP Tar'!$C:$C,'Plaza SP Tar'!I:I)</f>
        <v>9257486.6534413137</v>
      </c>
      <c r="N184" s="1">
        <v>40000</v>
      </c>
      <c r="O184" s="1">
        <f>_xlfn.XLOOKUP($C184,'Plaza SP Tar'!$C:$C,'Plaza SP Tar'!J:J)</f>
        <v>9969601.0113983378</v>
      </c>
      <c r="P184" s="1">
        <v>45000</v>
      </c>
      <c r="Q184" s="1">
        <f>_xlfn.XLOOKUP($C184,'Plaza SP Tar'!$C:$C,'Plaza SP Tar'!K:K)</f>
        <v>10681715.369355362</v>
      </c>
      <c r="R184">
        <v>50000</v>
      </c>
    </row>
    <row r="185" spans="1:18" x14ac:dyDescent="0.25">
      <c r="A185" t="s">
        <v>151</v>
      </c>
      <c r="B185" t="s">
        <v>198</v>
      </c>
      <c r="C185" t="s">
        <v>202</v>
      </c>
      <c r="D185" s="1">
        <v>2747547</v>
      </c>
      <c r="E185" s="1">
        <f>_xlfn.XLOOKUP($C185,'Plaza SP Tar'!$C:$C,'Plaza SP Tar'!E:E)</f>
        <v>2999035.4883261258</v>
      </c>
      <c r="F185" s="1">
        <v>10000</v>
      </c>
      <c r="G185" s="1">
        <f>_xlfn.XLOOKUP($C185,'Plaza SP Tar'!$C:$C,'Plaza SP Tar'!F:F)</f>
        <v>3427469.1295155725</v>
      </c>
      <c r="H185" s="1">
        <v>18000</v>
      </c>
      <c r="I185" s="1">
        <f>_xlfn.XLOOKUP($C185,'Plaza SP Tar'!$C:$C,'Plaza SP Tar'!G:G)</f>
        <v>3770216.042467129</v>
      </c>
      <c r="J185" s="1">
        <v>25000</v>
      </c>
      <c r="K185" s="1">
        <f>_xlfn.XLOOKUP($C185,'Plaza SP Tar'!$C:$C,'Plaza SP Tar'!H:H)</f>
        <v>4112962.9554186864</v>
      </c>
      <c r="L185" s="1">
        <v>30000</v>
      </c>
      <c r="M185" s="1">
        <f>_xlfn.XLOOKUP($C185,'Plaza SP Tar'!$C:$C,'Plaza SP Tar'!I:I)</f>
        <v>4455709.8683702443</v>
      </c>
      <c r="N185" s="1">
        <v>40000</v>
      </c>
      <c r="O185" s="1">
        <f>_xlfn.XLOOKUP($C185,'Plaza SP Tar'!$C:$C,'Plaza SP Tar'!J:J)</f>
        <v>4798456.7813218003</v>
      </c>
      <c r="P185" s="1">
        <v>45000</v>
      </c>
      <c r="Q185" s="1">
        <f>_xlfn.XLOOKUP($C185,'Plaza SP Tar'!$C:$C,'Plaza SP Tar'!K:K)</f>
        <v>5141203.6942733582</v>
      </c>
      <c r="R185">
        <v>50000</v>
      </c>
    </row>
    <row r="186" spans="1:18" x14ac:dyDescent="0.25">
      <c r="A186" t="s">
        <v>151</v>
      </c>
      <c r="B186" t="s">
        <v>198</v>
      </c>
      <c r="C186" t="s">
        <v>203</v>
      </c>
      <c r="D186" s="1">
        <v>5651202</v>
      </c>
      <c r="E186" s="1">
        <f>_xlfn.XLOOKUP($C186,'Plaza SP Tar'!$C:$C,'Plaza SP Tar'!E:E)</f>
        <v>6168467.8550356291</v>
      </c>
      <c r="F186" s="1">
        <v>10000</v>
      </c>
      <c r="G186" s="1">
        <f>_xlfn.XLOOKUP($C186,'Plaza SP Tar'!$C:$C,'Plaza SP Tar'!F:F)</f>
        <v>7049677.5486121476</v>
      </c>
      <c r="H186" s="1">
        <v>18000</v>
      </c>
      <c r="I186" s="1">
        <f>_xlfn.XLOOKUP($C186,'Plaza SP Tar'!$C:$C,'Plaza SP Tar'!G:G)</f>
        <v>7754645.3034733618</v>
      </c>
      <c r="J186" s="1">
        <v>25000</v>
      </c>
      <c r="K186" s="1">
        <f>_xlfn.XLOOKUP($C186,'Plaza SP Tar'!$C:$C,'Plaza SP Tar'!H:H)</f>
        <v>8459613.058334576</v>
      </c>
      <c r="L186" s="1">
        <v>30000</v>
      </c>
      <c r="M186" s="1">
        <f>_xlfn.XLOOKUP($C186,'Plaza SP Tar'!$C:$C,'Plaza SP Tar'!I:I)</f>
        <v>9164580.813195793</v>
      </c>
      <c r="N186" s="1">
        <v>40000</v>
      </c>
      <c r="O186" s="1">
        <f>_xlfn.XLOOKUP($C186,'Plaza SP Tar'!$C:$C,'Plaza SP Tar'!J:J)</f>
        <v>9869548.5680570062</v>
      </c>
      <c r="P186" s="1">
        <v>45000</v>
      </c>
      <c r="Q186" s="1">
        <f>_xlfn.XLOOKUP($C186,'Plaza SP Tar'!$C:$C,'Plaza SP Tar'!K:K)</f>
        <v>10574516.322918221</v>
      </c>
      <c r="R186">
        <v>50000</v>
      </c>
    </row>
    <row r="187" spans="1:18" x14ac:dyDescent="0.25">
      <c r="A187" t="s">
        <v>151</v>
      </c>
      <c r="B187" t="s">
        <v>198</v>
      </c>
      <c r="C187" t="s">
        <v>204</v>
      </c>
      <c r="D187" s="1">
        <v>3602862</v>
      </c>
      <c r="E187" s="1">
        <f>_xlfn.XLOOKUP($C187,'Plaza SP Tar'!$C:$C,'Plaza SP Tar'!E:E)</f>
        <v>3932639.1859872253</v>
      </c>
      <c r="F187" s="1">
        <v>10000</v>
      </c>
      <c r="G187" s="1">
        <f>_xlfn.XLOOKUP($C187,'Plaza SP Tar'!$C:$C,'Plaza SP Tar'!F:F)</f>
        <v>4494444.7839853996</v>
      </c>
      <c r="H187" s="1">
        <v>18000</v>
      </c>
      <c r="I187" s="1">
        <f>_xlfn.XLOOKUP($C187,'Plaza SP Tar'!$C:$C,'Plaza SP Tar'!G:G)</f>
        <v>4943889.2623839397</v>
      </c>
      <c r="J187" s="1">
        <v>25000</v>
      </c>
      <c r="K187" s="1">
        <f>_xlfn.XLOOKUP($C187,'Plaza SP Tar'!$C:$C,'Plaza SP Tar'!H:H)</f>
        <v>5393333.7407824798</v>
      </c>
      <c r="L187" s="1">
        <v>30000</v>
      </c>
      <c r="M187" s="1">
        <f>_xlfn.XLOOKUP($C187,'Plaza SP Tar'!$C:$C,'Plaza SP Tar'!I:I)</f>
        <v>5842778.2191810198</v>
      </c>
      <c r="N187" s="1">
        <v>40000</v>
      </c>
      <c r="O187" s="1">
        <f>_xlfn.XLOOKUP($C187,'Plaza SP Tar'!$C:$C,'Plaza SP Tar'!J:J)</f>
        <v>6292222.6975795589</v>
      </c>
      <c r="P187" s="1">
        <v>45000</v>
      </c>
      <c r="Q187" s="1">
        <f>_xlfn.XLOOKUP($C187,'Plaza SP Tar'!$C:$C,'Plaza SP Tar'!K:K)</f>
        <v>6741667.1759780999</v>
      </c>
      <c r="R187">
        <v>50000</v>
      </c>
    </row>
    <row r="188" spans="1:18" x14ac:dyDescent="0.25">
      <c r="A188" t="s">
        <v>151</v>
      </c>
      <c r="B188" t="s">
        <v>198</v>
      </c>
      <c r="C188" t="s">
        <v>205</v>
      </c>
      <c r="D188" s="1">
        <v>2330656</v>
      </c>
      <c r="E188" s="1">
        <f>_xlfn.XLOOKUP($C188,'Plaza SP Tar'!$C:$C,'Plaza SP Tar'!E:E)</f>
        <v>2543985.6188375358</v>
      </c>
      <c r="F188" s="1">
        <v>10000</v>
      </c>
      <c r="G188" s="1">
        <f>_xlfn.XLOOKUP($C188,'Plaza SP Tar'!$C:$C,'Plaza SP Tar'!F:F)</f>
        <v>2907412.1358143263</v>
      </c>
      <c r="H188" s="1">
        <v>18000</v>
      </c>
      <c r="I188" s="1">
        <f>_xlfn.XLOOKUP($C188,'Plaza SP Tar'!$C:$C,'Plaza SP Tar'!G:G)</f>
        <v>3198153.3493957589</v>
      </c>
      <c r="J188" s="1">
        <v>25000</v>
      </c>
      <c r="K188" s="1">
        <f>_xlfn.XLOOKUP($C188,'Plaza SP Tar'!$C:$C,'Plaza SP Tar'!H:H)</f>
        <v>3488894.5629771915</v>
      </c>
      <c r="L188" s="1">
        <v>30000</v>
      </c>
      <c r="M188" s="1">
        <f>_xlfn.XLOOKUP($C188,'Plaza SP Tar'!$C:$C,'Plaza SP Tar'!I:I)</f>
        <v>3779635.7765586246</v>
      </c>
      <c r="N188" s="1">
        <v>40000</v>
      </c>
      <c r="O188" s="1">
        <f>_xlfn.XLOOKUP($C188,'Plaza SP Tar'!$C:$C,'Plaza SP Tar'!J:J)</f>
        <v>4070376.9901400567</v>
      </c>
      <c r="P188" s="1">
        <v>45000</v>
      </c>
      <c r="Q188" s="1">
        <f>_xlfn.XLOOKUP($C188,'Plaza SP Tar'!$C:$C,'Plaza SP Tar'!K:K)</f>
        <v>4361118.2037214898</v>
      </c>
      <c r="R188">
        <v>50000</v>
      </c>
    </row>
    <row r="189" spans="1:18" x14ac:dyDescent="0.25">
      <c r="A189" t="s">
        <v>151</v>
      </c>
      <c r="B189" t="s">
        <v>198</v>
      </c>
      <c r="C189" t="s">
        <v>206</v>
      </c>
      <c r="D189" s="1">
        <v>8097529</v>
      </c>
      <c r="E189" s="1">
        <f>_xlfn.XLOOKUP($C189,'Plaza SP Tar'!$C:$C,'Plaza SP Tar'!E:E)</f>
        <v>8838712.0725323223</v>
      </c>
      <c r="F189" s="1">
        <v>10000</v>
      </c>
      <c r="G189" s="1">
        <f>_xlfn.XLOOKUP($C189,'Plaza SP Tar'!$C:$C,'Plaza SP Tar'!F:F)</f>
        <v>10101385.225751225</v>
      </c>
      <c r="H189" s="1">
        <v>18000</v>
      </c>
      <c r="I189" s="1">
        <f>_xlfn.XLOOKUP($C189,'Plaza SP Tar'!$C:$C,'Plaza SP Tar'!G:G)</f>
        <v>11111523.748326346</v>
      </c>
      <c r="J189" s="1">
        <v>25000</v>
      </c>
      <c r="K189" s="1">
        <f>_xlfn.XLOOKUP($C189,'Plaza SP Tar'!$C:$C,'Plaza SP Tar'!H:H)</f>
        <v>12121662.27090147</v>
      </c>
      <c r="L189" s="1">
        <v>30000</v>
      </c>
      <c r="M189" s="1">
        <f>_xlfn.XLOOKUP($C189,'Plaza SP Tar'!$C:$C,'Plaza SP Tar'!I:I)</f>
        <v>13131800.793476593</v>
      </c>
      <c r="N189" s="1">
        <v>40000</v>
      </c>
      <c r="O189" s="1">
        <f>_xlfn.XLOOKUP($C189,'Plaza SP Tar'!$C:$C,'Plaza SP Tar'!J:J)</f>
        <v>14141939.316051714</v>
      </c>
      <c r="P189" s="1">
        <v>45000</v>
      </c>
      <c r="Q189" s="1">
        <f>_xlfn.XLOOKUP($C189,'Plaza SP Tar'!$C:$C,'Plaza SP Tar'!K:K)</f>
        <v>15152077.838626837</v>
      </c>
      <c r="R189">
        <v>50000</v>
      </c>
    </row>
    <row r="190" spans="1:18" x14ac:dyDescent="0.25">
      <c r="A190" t="s">
        <v>151</v>
      </c>
      <c r="B190" t="s">
        <v>198</v>
      </c>
      <c r="C190" t="s">
        <v>207</v>
      </c>
      <c r="D190" s="1">
        <v>12004990</v>
      </c>
      <c r="E190" s="1">
        <f>_xlfn.XLOOKUP($C190,'Plaza SP Tar'!$C:$C,'Plaza SP Tar'!E:E)</f>
        <v>13103830.815997053</v>
      </c>
      <c r="F190" s="1">
        <v>10000</v>
      </c>
      <c r="G190" s="1">
        <f>_xlfn.XLOOKUP($C190,'Plaza SP Tar'!$C:$C,'Plaza SP Tar'!F:F)</f>
        <v>14975806.646853775</v>
      </c>
      <c r="H190" s="1">
        <v>18000</v>
      </c>
      <c r="I190" s="1">
        <f>_xlfn.XLOOKUP($C190,'Plaza SP Tar'!$C:$C,'Plaza SP Tar'!G:G)</f>
        <v>16473387.311539151</v>
      </c>
      <c r="J190" s="1">
        <v>25000</v>
      </c>
      <c r="K190" s="1">
        <f>_xlfn.XLOOKUP($C190,'Plaza SP Tar'!$C:$C,'Plaza SP Tar'!H:H)</f>
        <v>17970967.97622453</v>
      </c>
      <c r="L190" s="1">
        <v>30000</v>
      </c>
      <c r="M190" s="1">
        <f>_xlfn.XLOOKUP($C190,'Plaza SP Tar'!$C:$C,'Plaza SP Tar'!I:I)</f>
        <v>19468548.640909906</v>
      </c>
      <c r="N190" s="1">
        <v>40000</v>
      </c>
      <c r="O190" s="1">
        <f>_xlfn.XLOOKUP($C190,'Plaza SP Tar'!$C:$C,'Plaza SP Tar'!J:J)</f>
        <v>20966129.305595282</v>
      </c>
      <c r="P190" s="1">
        <v>45000</v>
      </c>
      <c r="Q190" s="1">
        <f>_xlfn.XLOOKUP($C190,'Plaza SP Tar'!$C:$C,'Plaza SP Tar'!K:K)</f>
        <v>22463709.970280662</v>
      </c>
      <c r="R190">
        <v>50000</v>
      </c>
    </row>
    <row r="191" spans="1:18" x14ac:dyDescent="0.25">
      <c r="A191" t="s">
        <v>151</v>
      </c>
      <c r="B191" t="s">
        <v>198</v>
      </c>
      <c r="C191" t="s">
        <v>208</v>
      </c>
      <c r="D191" s="1">
        <v>2587893</v>
      </c>
      <c r="E191" s="1">
        <f>_xlfn.XLOOKUP($C191,'Plaza SP Tar'!$C:$C,'Plaza SP Tar'!E:E)</f>
        <v>2824768.0374496826</v>
      </c>
      <c r="F191" s="1">
        <v>10000</v>
      </c>
      <c r="G191" s="1">
        <f>_xlfn.XLOOKUP($C191,'Plaza SP Tar'!$C:$C,'Plaza SP Tar'!F:F)</f>
        <v>3228306.3285139226</v>
      </c>
      <c r="H191" s="1">
        <v>18000</v>
      </c>
      <c r="I191" s="1">
        <f>_xlfn.XLOOKUP($C191,'Plaza SP Tar'!$C:$C,'Plaza SP Tar'!G:G)</f>
        <v>3551136.9613653147</v>
      </c>
      <c r="J191" s="1">
        <v>25000</v>
      </c>
      <c r="K191" s="1">
        <f>_xlfn.XLOOKUP($C191,'Plaza SP Tar'!$C:$C,'Plaza SP Tar'!H:H)</f>
        <v>3873967.5942167072</v>
      </c>
      <c r="L191" s="1">
        <v>30000</v>
      </c>
      <c r="M191" s="1">
        <f>_xlfn.XLOOKUP($C191,'Plaza SP Tar'!$C:$C,'Plaza SP Tar'!I:I)</f>
        <v>4196798.2270680992</v>
      </c>
      <c r="N191" s="1">
        <v>40000</v>
      </c>
      <c r="O191" s="1">
        <f>_xlfn.XLOOKUP($C191,'Plaza SP Tar'!$C:$C,'Plaza SP Tar'!J:J)</f>
        <v>4519628.8599194912</v>
      </c>
      <c r="P191" s="1">
        <v>45000</v>
      </c>
      <c r="Q191" s="1">
        <f>_xlfn.XLOOKUP($C191,'Plaza SP Tar'!$C:$C,'Plaza SP Tar'!K:K)</f>
        <v>4842459.4927708842</v>
      </c>
      <c r="R191">
        <v>50000</v>
      </c>
    </row>
    <row r="192" spans="1:18" x14ac:dyDescent="0.25">
      <c r="A192" t="s">
        <v>151</v>
      </c>
      <c r="B192" t="s">
        <v>198</v>
      </c>
      <c r="C192" t="s">
        <v>209</v>
      </c>
      <c r="D192" s="1">
        <v>5165552</v>
      </c>
      <c r="E192" s="1">
        <f>_xlfn.XLOOKUP($C192,'Plaza SP Tar'!$C:$C,'Plaza SP Tar'!E:E)</f>
        <v>5638365.3363505686</v>
      </c>
      <c r="F192" s="1">
        <v>10000</v>
      </c>
      <c r="G192" s="1">
        <f>_xlfn.XLOOKUP($C192,'Plaza SP Tar'!$C:$C,'Plaza SP Tar'!F:F)</f>
        <v>6443846.0986863635</v>
      </c>
      <c r="H192" s="1">
        <v>18000</v>
      </c>
      <c r="I192" s="1">
        <f>_xlfn.XLOOKUP($C192,'Plaza SP Tar'!$C:$C,'Plaza SP Tar'!G:G)</f>
        <v>7088230.7085549999</v>
      </c>
      <c r="J192" s="1">
        <v>25000</v>
      </c>
      <c r="K192" s="1">
        <f>_xlfn.XLOOKUP($C192,'Plaza SP Tar'!$C:$C,'Plaza SP Tar'!H:H)</f>
        <v>7732615.3184236363</v>
      </c>
      <c r="L192" s="1">
        <v>30000</v>
      </c>
      <c r="M192" s="1">
        <f>_xlfn.XLOOKUP($C192,'Plaza SP Tar'!$C:$C,'Plaza SP Tar'!I:I)</f>
        <v>8376999.9282922726</v>
      </c>
      <c r="N192" s="1">
        <v>40000</v>
      </c>
      <c r="O192" s="1">
        <f>_xlfn.XLOOKUP($C192,'Plaza SP Tar'!$C:$C,'Plaza SP Tar'!J:J)</f>
        <v>9021384.538160909</v>
      </c>
      <c r="P192" s="1">
        <v>45000</v>
      </c>
      <c r="Q192" s="1">
        <f>_xlfn.XLOOKUP($C192,'Plaza SP Tar'!$C:$C,'Plaza SP Tar'!K:K)</f>
        <v>9665769.1480295453</v>
      </c>
      <c r="R192">
        <v>50000</v>
      </c>
    </row>
    <row r="193" spans="1:18" x14ac:dyDescent="0.25">
      <c r="A193" t="s">
        <v>151</v>
      </c>
      <c r="B193" t="s">
        <v>198</v>
      </c>
      <c r="C193" t="s">
        <v>210</v>
      </c>
      <c r="D193" s="1">
        <v>2285102</v>
      </c>
      <c r="E193" s="1">
        <f>_xlfn.XLOOKUP($C193,'Plaza SP Tar'!$C:$C,'Plaza SP Tar'!E:E)</f>
        <v>2494261.9698389168</v>
      </c>
      <c r="F193" s="1">
        <v>10000</v>
      </c>
      <c r="G193" s="1">
        <f>_xlfn.XLOOKUP($C193,'Plaza SP Tar'!$C:$C,'Plaza SP Tar'!F:F)</f>
        <v>2850585.1083873333</v>
      </c>
      <c r="H193" s="1">
        <v>18000</v>
      </c>
      <c r="I193" s="1">
        <f>_xlfn.XLOOKUP($C193,'Plaza SP Tar'!$C:$C,'Plaza SP Tar'!G:G)</f>
        <v>3135643.6192260664</v>
      </c>
      <c r="J193" s="1">
        <v>25000</v>
      </c>
      <c r="K193" s="1">
        <f>_xlfn.XLOOKUP($C193,'Plaza SP Tar'!$C:$C,'Plaza SP Tar'!H:H)</f>
        <v>3420702.1300647999</v>
      </c>
      <c r="L193" s="1">
        <v>30000</v>
      </c>
      <c r="M193" s="1">
        <f>_xlfn.XLOOKUP($C193,'Plaza SP Tar'!$C:$C,'Plaza SP Tar'!I:I)</f>
        <v>3705760.6409035334</v>
      </c>
      <c r="N193" s="1">
        <v>40000</v>
      </c>
      <c r="O193" s="1">
        <f>_xlfn.XLOOKUP($C193,'Plaza SP Tar'!$C:$C,'Plaza SP Tar'!J:J)</f>
        <v>3990819.1517422665</v>
      </c>
      <c r="P193" s="1">
        <v>45000</v>
      </c>
      <c r="Q193" s="1">
        <f>_xlfn.XLOOKUP($C193,'Plaza SP Tar'!$C:$C,'Plaza SP Tar'!K:K)</f>
        <v>4275877.6625810005</v>
      </c>
      <c r="R193">
        <v>50000</v>
      </c>
    </row>
    <row r="194" spans="1:18" x14ac:dyDescent="0.25">
      <c r="A194" t="s">
        <v>151</v>
      </c>
      <c r="B194" t="s">
        <v>198</v>
      </c>
      <c r="C194" t="s">
        <v>211</v>
      </c>
      <c r="D194" s="1">
        <v>4883142</v>
      </c>
      <c r="E194" s="1">
        <f>_xlfn.XLOOKUP($C194,'Plaza SP Tar'!$C:$C,'Plaza SP Tar'!E:E)</f>
        <v>5330105.7825528784</v>
      </c>
      <c r="F194" s="1">
        <v>10000</v>
      </c>
      <c r="G194" s="1">
        <f>_xlfn.XLOOKUP($C194,'Plaza SP Tar'!$C:$C,'Plaza SP Tar'!F:F)</f>
        <v>6091549.4657747187</v>
      </c>
      <c r="H194" s="1">
        <v>18000</v>
      </c>
      <c r="I194" s="1">
        <f>_xlfn.XLOOKUP($C194,'Plaza SP Tar'!$C:$C,'Plaza SP Tar'!G:G)</f>
        <v>6700704.4123521894</v>
      </c>
      <c r="J194" s="1">
        <v>25000</v>
      </c>
      <c r="K194" s="1">
        <f>_xlfn.XLOOKUP($C194,'Plaza SP Tar'!$C:$C,'Plaza SP Tar'!H:H)</f>
        <v>7309859.358929662</v>
      </c>
      <c r="L194" s="1">
        <v>30000</v>
      </c>
      <c r="M194" s="1">
        <f>_xlfn.XLOOKUP($C194,'Plaza SP Tar'!$C:$C,'Plaza SP Tar'!I:I)</f>
        <v>7919014.3055071337</v>
      </c>
      <c r="N194" s="1">
        <v>40000</v>
      </c>
      <c r="O194" s="1">
        <f>_xlfn.XLOOKUP($C194,'Plaza SP Tar'!$C:$C,'Plaza SP Tar'!J:J)</f>
        <v>8528169.2520846054</v>
      </c>
      <c r="P194" s="1">
        <v>45000</v>
      </c>
      <c r="Q194" s="1">
        <f>_xlfn.XLOOKUP($C194,'Plaza SP Tar'!$C:$C,'Plaza SP Tar'!K:K)</f>
        <v>9137324.198662078</v>
      </c>
      <c r="R194">
        <v>50000</v>
      </c>
    </row>
    <row r="195" spans="1:18" x14ac:dyDescent="0.25">
      <c r="A195" t="s">
        <v>151</v>
      </c>
      <c r="B195" t="s">
        <v>198</v>
      </c>
      <c r="C195" t="s">
        <v>212</v>
      </c>
      <c r="D195" s="1">
        <v>8839154</v>
      </c>
      <c r="E195" s="1">
        <f>_xlfn.XLOOKUP($C195,'Plaza SP Tar'!$C:$C,'Plaza SP Tar'!E:E)</f>
        <v>9648219.496438032</v>
      </c>
      <c r="F195" s="1">
        <v>10000</v>
      </c>
      <c r="G195" s="1">
        <f>_xlfn.XLOOKUP($C195,'Plaza SP Tar'!$C:$C,'Plaza SP Tar'!F:F)</f>
        <v>11026536.567357752</v>
      </c>
      <c r="H195" s="1">
        <v>18000</v>
      </c>
      <c r="I195" s="1">
        <f>_xlfn.XLOOKUP($C195,'Plaza SP Tar'!$C:$C,'Plaza SP Tar'!G:G)</f>
        <v>12129190.224093525</v>
      </c>
      <c r="J195" s="1">
        <v>25000</v>
      </c>
      <c r="K195" s="1">
        <f>_xlfn.XLOOKUP($C195,'Plaza SP Tar'!$C:$C,'Plaza SP Tar'!H:H)</f>
        <v>13231843.880829301</v>
      </c>
      <c r="L195" s="1">
        <v>30000</v>
      </c>
      <c r="M195" s="1">
        <f>_xlfn.XLOOKUP($C195,'Plaza SP Tar'!$C:$C,'Plaza SP Tar'!I:I)</f>
        <v>14334497.537565077</v>
      </c>
      <c r="N195" s="1">
        <v>40000</v>
      </c>
      <c r="O195" s="1">
        <f>_xlfn.XLOOKUP($C195,'Plaza SP Tar'!$C:$C,'Plaza SP Tar'!J:J)</f>
        <v>15437151.194300851</v>
      </c>
      <c r="P195" s="1">
        <v>45000</v>
      </c>
      <c r="Q195" s="1">
        <f>_xlfn.XLOOKUP($C195,'Plaza SP Tar'!$C:$C,'Plaza SP Tar'!K:K)</f>
        <v>16539804.851036627</v>
      </c>
      <c r="R195">
        <v>50000</v>
      </c>
    </row>
    <row r="196" spans="1:18" x14ac:dyDescent="0.25">
      <c r="A196" t="s">
        <v>151</v>
      </c>
      <c r="B196" t="s">
        <v>213</v>
      </c>
      <c r="C196" t="s">
        <v>214</v>
      </c>
      <c r="D196" s="1">
        <v>4663120</v>
      </c>
      <c r="E196" s="1">
        <f>_xlfn.XLOOKUP($C196,'Plaza SP Tar'!$C:$C,'Plaza SP Tar'!E:E)</f>
        <v>5089944.7275418127</v>
      </c>
      <c r="F196" s="1">
        <v>10000</v>
      </c>
      <c r="G196" s="1">
        <f>_xlfn.XLOOKUP($C196,'Plaza SP Tar'!$C:$C,'Plaza SP Tar'!F:F)</f>
        <v>5817079.6886192141</v>
      </c>
      <c r="H196" s="1">
        <v>18000</v>
      </c>
      <c r="I196" s="1">
        <f>_xlfn.XLOOKUP($C196,'Plaza SP Tar'!$C:$C,'Plaza SP Tar'!G:G)</f>
        <v>6398787.6574811349</v>
      </c>
      <c r="J196" s="1">
        <v>25000</v>
      </c>
      <c r="K196" s="1">
        <f>_xlfn.XLOOKUP($C196,'Plaza SP Tar'!$C:$C,'Plaza SP Tar'!H:H)</f>
        <v>6980495.6263430566</v>
      </c>
      <c r="L196" s="1">
        <v>30000</v>
      </c>
      <c r="M196" s="1">
        <f>_xlfn.XLOOKUP($C196,'Plaza SP Tar'!$C:$C,'Plaza SP Tar'!I:I)</f>
        <v>7562203.5952049782</v>
      </c>
      <c r="N196" s="1">
        <v>40000</v>
      </c>
      <c r="O196" s="1">
        <f>_xlfn.XLOOKUP($C196,'Plaza SP Tar'!$C:$C,'Plaza SP Tar'!J:J)</f>
        <v>8143911.564066899</v>
      </c>
      <c r="P196" s="1">
        <v>45000</v>
      </c>
      <c r="Q196" s="1">
        <f>_xlfn.XLOOKUP($C196,'Plaza SP Tar'!$C:$C,'Plaza SP Tar'!K:K)</f>
        <v>8725619.5329288207</v>
      </c>
      <c r="R196">
        <v>50000</v>
      </c>
    </row>
    <row r="197" spans="1:18" x14ac:dyDescent="0.25">
      <c r="A197" t="s">
        <v>151</v>
      </c>
      <c r="B197" t="s">
        <v>213</v>
      </c>
      <c r="C197" t="s">
        <v>215</v>
      </c>
      <c r="D197" s="1">
        <v>2640962</v>
      </c>
      <c r="E197" s="1">
        <f>_xlfn.XLOOKUP($C197,'Plaza SP Tar'!$C:$C,'Plaza SP Tar'!E:E)</f>
        <v>2882694.5494729453</v>
      </c>
      <c r="F197" s="1">
        <v>10000</v>
      </c>
      <c r="G197" s="1">
        <f>_xlfn.XLOOKUP($C197,'Plaza SP Tar'!$C:$C,'Plaza SP Tar'!F:F)</f>
        <v>3294508.0565405088</v>
      </c>
      <c r="H197" s="1">
        <v>18000</v>
      </c>
      <c r="I197" s="1">
        <f>_xlfn.XLOOKUP($C197,'Plaza SP Tar'!$C:$C,'Plaza SP Tar'!G:G)</f>
        <v>3623958.8621945591</v>
      </c>
      <c r="J197" s="1">
        <v>25000</v>
      </c>
      <c r="K197" s="1">
        <f>_xlfn.XLOOKUP($C197,'Plaza SP Tar'!$C:$C,'Plaza SP Tar'!H:H)</f>
        <v>3953409.6678486099</v>
      </c>
      <c r="L197" s="1">
        <v>30000</v>
      </c>
      <c r="M197" s="1">
        <f>_xlfn.XLOOKUP($C197,'Plaza SP Tar'!$C:$C,'Plaza SP Tar'!I:I)</f>
        <v>4282860.4735026611</v>
      </c>
      <c r="N197" s="1">
        <v>40000</v>
      </c>
      <c r="O197" s="1">
        <f>_xlfn.XLOOKUP($C197,'Plaza SP Tar'!$C:$C,'Plaza SP Tar'!J:J)</f>
        <v>4612311.2791567119</v>
      </c>
      <c r="P197" s="1">
        <v>45000</v>
      </c>
      <c r="Q197" s="1">
        <f>_xlfn.XLOOKUP($C197,'Plaza SP Tar'!$C:$C,'Plaza SP Tar'!K:K)</f>
        <v>4941762.0848107627</v>
      </c>
      <c r="R197">
        <v>50000</v>
      </c>
    </row>
    <row r="198" spans="1:18" x14ac:dyDescent="0.25">
      <c r="A198" t="s">
        <v>151</v>
      </c>
      <c r="B198" t="s">
        <v>213</v>
      </c>
      <c r="C198" t="s">
        <v>216</v>
      </c>
      <c r="D198" s="1">
        <v>5769136</v>
      </c>
      <c r="E198" s="1">
        <f>_xlfn.XLOOKUP($C198,'Plaza SP Tar'!$C:$C,'Plaza SP Tar'!E:E)</f>
        <v>6297196.59062423</v>
      </c>
      <c r="F198" s="1">
        <v>10000</v>
      </c>
      <c r="G198" s="1">
        <f>_xlfn.XLOOKUP($C198,'Plaza SP Tar'!$C:$C,'Plaza SP Tar'!F:F)</f>
        <v>7196796.1035705488</v>
      </c>
      <c r="H198" s="1">
        <v>18000</v>
      </c>
      <c r="I198" s="1">
        <f>_xlfn.XLOOKUP($C198,'Plaza SP Tar'!$C:$C,'Plaza SP Tar'!G:G)</f>
        <v>7916475.7139276024</v>
      </c>
      <c r="J198" s="1">
        <v>25000</v>
      </c>
      <c r="K198" s="1">
        <f>_xlfn.XLOOKUP($C198,'Plaza SP Tar'!$C:$C,'Plaza SP Tar'!H:H)</f>
        <v>8636155.3242846578</v>
      </c>
      <c r="L198" s="1">
        <v>30000</v>
      </c>
      <c r="M198" s="1">
        <f>_xlfn.XLOOKUP($C198,'Plaza SP Tar'!$C:$C,'Plaza SP Tar'!I:I)</f>
        <v>9355834.9346417133</v>
      </c>
      <c r="N198" s="1">
        <v>40000</v>
      </c>
      <c r="O198" s="1">
        <f>_xlfn.XLOOKUP($C198,'Plaza SP Tar'!$C:$C,'Plaza SP Tar'!J:J)</f>
        <v>10075514.544998767</v>
      </c>
      <c r="P198" s="1">
        <v>45000</v>
      </c>
      <c r="Q198" s="1">
        <f>_xlfn.XLOOKUP($C198,'Plaza SP Tar'!$C:$C,'Plaza SP Tar'!K:K)</f>
        <v>10795194.155355822</v>
      </c>
      <c r="R198">
        <v>50000</v>
      </c>
    </row>
    <row r="199" spans="1:18" x14ac:dyDescent="0.25">
      <c r="A199" t="s">
        <v>151</v>
      </c>
      <c r="B199" t="s">
        <v>213</v>
      </c>
      <c r="C199" t="s">
        <v>217</v>
      </c>
      <c r="D199" s="1">
        <v>4100115</v>
      </c>
      <c r="E199" s="1">
        <f>_xlfn.XLOOKUP($C199,'Plaza SP Tar'!$C:$C,'Plaza SP Tar'!E:E)</f>
        <v>4475406.7505372148</v>
      </c>
      <c r="F199" s="1">
        <v>10000</v>
      </c>
      <c r="G199" s="1">
        <f>_xlfn.XLOOKUP($C199,'Plaza SP Tar'!$C:$C,'Plaza SP Tar'!F:F)</f>
        <v>5114750.5720425313</v>
      </c>
      <c r="H199" s="1">
        <v>18000</v>
      </c>
      <c r="I199" s="1">
        <f>_xlfn.XLOOKUP($C199,'Plaza SP Tar'!$C:$C,'Plaza SP Tar'!G:G)</f>
        <v>5626225.6292467834</v>
      </c>
      <c r="J199" s="1">
        <v>25000</v>
      </c>
      <c r="K199" s="1">
        <f>_xlfn.XLOOKUP($C199,'Plaza SP Tar'!$C:$C,'Plaza SP Tar'!H:H)</f>
        <v>6137700.6864510374</v>
      </c>
      <c r="L199" s="1">
        <v>30000</v>
      </c>
      <c r="M199" s="1">
        <f>_xlfn.XLOOKUP($C199,'Plaza SP Tar'!$C:$C,'Plaza SP Tar'!I:I)</f>
        <v>6649175.7436552905</v>
      </c>
      <c r="N199" s="1">
        <v>40000</v>
      </c>
      <c r="O199" s="1">
        <f>_xlfn.XLOOKUP($C199,'Plaza SP Tar'!$C:$C,'Plaza SP Tar'!J:J)</f>
        <v>7160650.8008595426</v>
      </c>
      <c r="P199" s="1">
        <v>45000</v>
      </c>
      <c r="Q199" s="1">
        <f>_xlfn.XLOOKUP($C199,'Plaza SP Tar'!$C:$C,'Plaza SP Tar'!K:K)</f>
        <v>7672125.8580637965</v>
      </c>
      <c r="R199">
        <v>50000</v>
      </c>
    </row>
    <row r="200" spans="1:18" x14ac:dyDescent="0.25">
      <c r="A200" t="s">
        <v>151</v>
      </c>
      <c r="B200" t="s">
        <v>213</v>
      </c>
      <c r="C200" t="s">
        <v>218</v>
      </c>
      <c r="D200" s="1">
        <v>1700000</v>
      </c>
      <c r="E200" s="1">
        <f>_xlfn.XLOOKUP($C200,'Plaza SP Tar'!$C:$C,'Plaza SP Tar'!E:E)</f>
        <v>1855604.4100990498</v>
      </c>
      <c r="F200" s="1">
        <v>10000</v>
      </c>
      <c r="G200" s="1">
        <f>_xlfn.XLOOKUP($C200,'Plaza SP Tar'!$C:$C,'Plaza SP Tar'!F:F)</f>
        <v>2120690.7543989141</v>
      </c>
      <c r="H200" s="1">
        <v>18000</v>
      </c>
      <c r="I200" s="1">
        <f>_xlfn.XLOOKUP($C200,'Plaza SP Tar'!$C:$C,'Plaza SP Tar'!G:G)</f>
        <v>2332759.8298388049</v>
      </c>
      <c r="J200" s="1">
        <v>25000</v>
      </c>
      <c r="K200" s="1">
        <f>_xlfn.XLOOKUP($C200,'Plaza SP Tar'!$C:$C,'Plaza SP Tar'!H:H)</f>
        <v>2544828.9052786967</v>
      </c>
      <c r="L200" s="1">
        <v>30000</v>
      </c>
      <c r="M200" s="1">
        <f>_xlfn.XLOOKUP($C200,'Plaza SP Tar'!$C:$C,'Plaza SP Tar'!I:I)</f>
        <v>2756897.980718588</v>
      </c>
      <c r="N200" s="1">
        <v>40000</v>
      </c>
      <c r="O200" s="1">
        <f>_xlfn.XLOOKUP($C200,'Plaza SP Tar'!$C:$C,'Plaza SP Tar'!J:J)</f>
        <v>2968967.0561584793</v>
      </c>
      <c r="P200" s="1">
        <v>45000</v>
      </c>
      <c r="Q200" s="1">
        <f>_xlfn.XLOOKUP($C200,'Plaza SP Tar'!$C:$C,'Plaza SP Tar'!K:K)</f>
        <v>3181036.1315983706</v>
      </c>
      <c r="R200">
        <v>50000</v>
      </c>
    </row>
    <row r="201" spans="1:18" x14ac:dyDescent="0.25">
      <c r="A201" t="s">
        <v>151</v>
      </c>
      <c r="B201" t="s">
        <v>213</v>
      </c>
      <c r="C201" t="s">
        <v>219</v>
      </c>
      <c r="D201" s="1">
        <v>4394341</v>
      </c>
      <c r="E201" s="1">
        <f>_xlfn.XLOOKUP($C201,'Plaza SP Tar'!$C:$C,'Plaza SP Tar'!E:E)</f>
        <v>4796563.8465170991</v>
      </c>
      <c r="F201" s="1">
        <v>10000</v>
      </c>
      <c r="G201" s="1">
        <f>_xlfn.XLOOKUP($C201,'Plaza SP Tar'!$C:$C,'Plaza SP Tar'!F:F)</f>
        <v>5481787.2531623989</v>
      </c>
      <c r="H201" s="1">
        <v>18000</v>
      </c>
      <c r="I201" s="1">
        <f>_xlfn.XLOOKUP($C201,'Plaza SP Tar'!$C:$C,'Plaza SP Tar'!G:G)</f>
        <v>6029965.9784786375</v>
      </c>
      <c r="J201" s="1">
        <v>25000</v>
      </c>
      <c r="K201" s="1">
        <f>_xlfn.XLOOKUP($C201,'Plaza SP Tar'!$C:$C,'Plaza SP Tar'!H:H)</f>
        <v>6578144.703794878</v>
      </c>
      <c r="L201" s="1">
        <v>30000</v>
      </c>
      <c r="M201" s="1">
        <f>_xlfn.XLOOKUP($C201,'Plaza SP Tar'!$C:$C,'Plaza SP Tar'!I:I)</f>
        <v>7126323.4291111184</v>
      </c>
      <c r="N201" s="1">
        <v>40000</v>
      </c>
      <c r="O201" s="1">
        <f>_xlfn.XLOOKUP($C201,'Plaza SP Tar'!$C:$C,'Plaza SP Tar'!J:J)</f>
        <v>7674502.1544273579</v>
      </c>
      <c r="P201" s="1">
        <v>45000</v>
      </c>
      <c r="Q201" s="1">
        <f>_xlfn.XLOOKUP($C201,'Plaza SP Tar'!$C:$C,'Plaza SP Tar'!K:K)</f>
        <v>8222680.8797435975</v>
      </c>
      <c r="R201">
        <v>50000</v>
      </c>
    </row>
    <row r="202" spans="1:18" x14ac:dyDescent="0.25">
      <c r="A202" t="s">
        <v>151</v>
      </c>
      <c r="B202" t="s">
        <v>213</v>
      </c>
      <c r="C202" t="s">
        <v>220</v>
      </c>
      <c r="D202" s="1">
        <v>1952484</v>
      </c>
      <c r="E202" s="1">
        <f>_xlfn.XLOOKUP($C202,'Plaza SP Tar'!$C:$C,'Plaza SP Tar'!E:E)</f>
        <v>2131198.7770869606</v>
      </c>
      <c r="F202" s="1">
        <v>10000</v>
      </c>
      <c r="G202" s="1">
        <f>_xlfn.XLOOKUP($C202,'Plaza SP Tar'!$C:$C,'Plaza SP Tar'!F:F)</f>
        <v>2435655.7452422408</v>
      </c>
      <c r="H202" s="1">
        <v>18000</v>
      </c>
      <c r="I202" s="1">
        <f>_xlfn.XLOOKUP($C202,'Plaza SP Tar'!$C:$C,'Plaza SP Tar'!G:G)</f>
        <v>2679221.3197664642</v>
      </c>
      <c r="J202" s="1">
        <v>25000</v>
      </c>
      <c r="K202" s="1">
        <f>_xlfn.XLOOKUP($C202,'Plaza SP Tar'!$C:$C,'Plaza SP Tar'!H:H)</f>
        <v>2922786.8942906884</v>
      </c>
      <c r="L202" s="1">
        <v>30000</v>
      </c>
      <c r="M202" s="1">
        <f>_xlfn.XLOOKUP($C202,'Plaza SP Tar'!$C:$C,'Plaza SP Tar'!I:I)</f>
        <v>3166352.4688149127</v>
      </c>
      <c r="N202" s="1">
        <v>40000</v>
      </c>
      <c r="O202" s="1">
        <f>_xlfn.XLOOKUP($C202,'Plaza SP Tar'!$C:$C,'Plaza SP Tar'!J:J)</f>
        <v>3409918.0433391365</v>
      </c>
      <c r="P202" s="1">
        <v>45000</v>
      </c>
      <c r="Q202" s="1">
        <f>_xlfn.XLOOKUP($C202,'Plaza SP Tar'!$C:$C,'Plaza SP Tar'!K:K)</f>
        <v>3653483.6178633608</v>
      </c>
      <c r="R202">
        <v>50000</v>
      </c>
    </row>
    <row r="203" spans="1:18" x14ac:dyDescent="0.25">
      <c r="A203" t="s">
        <v>151</v>
      </c>
      <c r="B203" t="s">
        <v>213</v>
      </c>
      <c r="C203" t="s">
        <v>221</v>
      </c>
      <c r="D203" s="1">
        <v>3963605</v>
      </c>
      <c r="E203" s="1">
        <f>_xlfn.XLOOKUP($C203,'Plaza SP Tar'!$C:$C,'Plaza SP Tar'!E:E)</f>
        <v>4326401.7164062615</v>
      </c>
      <c r="F203" s="1">
        <v>10000</v>
      </c>
      <c r="G203" s="1">
        <f>_xlfn.XLOOKUP($C203,'Plaza SP Tar'!$C:$C,'Plaza SP Tar'!F:F)</f>
        <v>4944459.1044642981</v>
      </c>
      <c r="H203" s="1">
        <v>18000</v>
      </c>
      <c r="I203" s="1">
        <f>_xlfn.XLOOKUP($C203,'Plaza SP Tar'!$C:$C,'Plaza SP Tar'!G:G)</f>
        <v>5438905.0149107277</v>
      </c>
      <c r="J203" s="1">
        <v>25000</v>
      </c>
      <c r="K203" s="1">
        <f>_xlfn.XLOOKUP($C203,'Plaza SP Tar'!$C:$C,'Plaza SP Tar'!H:H)</f>
        <v>5933350.9253571574</v>
      </c>
      <c r="L203" s="1">
        <v>30000</v>
      </c>
      <c r="M203" s="1">
        <f>_xlfn.XLOOKUP($C203,'Plaza SP Tar'!$C:$C,'Plaza SP Tar'!I:I)</f>
        <v>6427796.8358035879</v>
      </c>
      <c r="N203" s="1">
        <v>40000</v>
      </c>
      <c r="O203" s="1">
        <f>_xlfn.XLOOKUP($C203,'Plaza SP Tar'!$C:$C,'Plaza SP Tar'!J:J)</f>
        <v>6922242.7462500175</v>
      </c>
      <c r="P203" s="1">
        <v>45000</v>
      </c>
      <c r="Q203" s="1">
        <f>_xlfn.XLOOKUP($C203,'Plaza SP Tar'!$C:$C,'Plaza SP Tar'!K:K)</f>
        <v>7416688.6566964472</v>
      </c>
      <c r="R203">
        <v>50000</v>
      </c>
    </row>
    <row r="204" spans="1:18" x14ac:dyDescent="0.25">
      <c r="A204" t="s">
        <v>151</v>
      </c>
      <c r="B204" t="s">
        <v>213</v>
      </c>
      <c r="C204" t="s">
        <v>222</v>
      </c>
      <c r="D204" s="1">
        <v>3946350</v>
      </c>
      <c r="E204" s="1">
        <f>_xlfn.XLOOKUP($C204,'Plaza SP Tar'!$C:$C,'Plaza SP Tar'!E:E)</f>
        <v>4307567.3316437555</v>
      </c>
      <c r="F204" s="1">
        <v>10000</v>
      </c>
      <c r="G204" s="1">
        <f>_xlfn.XLOOKUP($C204,'Plaza SP Tar'!$C:$C,'Plaza SP Tar'!F:F)</f>
        <v>4922934.0933071496</v>
      </c>
      <c r="H204" s="1">
        <v>18000</v>
      </c>
      <c r="I204" s="1">
        <f>_xlfn.XLOOKUP($C204,'Plaza SP Tar'!$C:$C,'Plaza SP Tar'!G:G)</f>
        <v>5415227.5026378641</v>
      </c>
      <c r="J204" s="1">
        <v>25000</v>
      </c>
      <c r="K204" s="1">
        <f>_xlfn.XLOOKUP($C204,'Plaza SP Tar'!$C:$C,'Plaza SP Tar'!H:H)</f>
        <v>5907520.9119685786</v>
      </c>
      <c r="L204" s="1">
        <v>30000</v>
      </c>
      <c r="M204" s="1">
        <f>_xlfn.XLOOKUP($C204,'Plaza SP Tar'!$C:$C,'Plaza SP Tar'!I:I)</f>
        <v>6399814.321299294</v>
      </c>
      <c r="N204" s="1">
        <v>40000</v>
      </c>
      <c r="O204" s="1">
        <f>_xlfn.XLOOKUP($C204,'Plaza SP Tar'!$C:$C,'Plaza SP Tar'!J:J)</f>
        <v>6892107.7306300085</v>
      </c>
      <c r="P204" s="1">
        <v>45000</v>
      </c>
      <c r="Q204" s="1">
        <f>_xlfn.XLOOKUP($C204,'Plaza SP Tar'!$C:$C,'Plaza SP Tar'!K:K)</f>
        <v>7384401.1399607239</v>
      </c>
      <c r="R204">
        <v>50000</v>
      </c>
    </row>
    <row r="205" spans="1:18" x14ac:dyDescent="0.25">
      <c r="A205" t="s">
        <v>151</v>
      </c>
      <c r="B205" t="s">
        <v>213</v>
      </c>
      <c r="C205" t="s">
        <v>223</v>
      </c>
      <c r="D205" s="1">
        <v>5550525</v>
      </c>
      <c r="E205" s="1">
        <f>_xlfn.XLOOKUP($C205,'Plaza SP Tar'!$C:$C,'Plaza SP Tar'!E:E)</f>
        <v>6058575.6872735461</v>
      </c>
      <c r="F205" s="1">
        <v>10000</v>
      </c>
      <c r="G205" s="1">
        <f>_xlfn.XLOOKUP($C205,'Plaza SP Tar'!$C:$C,'Plaza SP Tar'!F:F)</f>
        <v>6924086.4997411948</v>
      </c>
      <c r="H205" s="1">
        <v>18000</v>
      </c>
      <c r="I205" s="1">
        <f>_xlfn.XLOOKUP($C205,'Plaza SP Tar'!$C:$C,'Plaza SP Tar'!G:G)</f>
        <v>7616495.1497153137</v>
      </c>
      <c r="J205" s="1">
        <v>25000</v>
      </c>
      <c r="K205" s="1">
        <f>_xlfn.XLOOKUP($C205,'Plaza SP Tar'!$C:$C,'Plaza SP Tar'!H:H)</f>
        <v>8308903.7996894335</v>
      </c>
      <c r="L205" s="1">
        <v>30000</v>
      </c>
      <c r="M205" s="1">
        <f>_xlfn.XLOOKUP($C205,'Plaza SP Tar'!$C:$C,'Plaza SP Tar'!I:I)</f>
        <v>9001312.4496635534</v>
      </c>
      <c r="N205" s="1">
        <v>40000</v>
      </c>
      <c r="O205" s="1">
        <f>_xlfn.XLOOKUP($C205,'Plaza SP Tar'!$C:$C,'Plaza SP Tar'!J:J)</f>
        <v>9693721.0996376723</v>
      </c>
      <c r="P205" s="1">
        <v>45000</v>
      </c>
      <c r="Q205" s="1">
        <f>_xlfn.XLOOKUP($C205,'Plaza SP Tar'!$C:$C,'Plaza SP Tar'!K:K)</f>
        <v>10386129.749611793</v>
      </c>
      <c r="R205">
        <v>50000</v>
      </c>
    </row>
    <row r="206" spans="1:18" x14ac:dyDescent="0.25">
      <c r="A206" t="s">
        <v>151</v>
      </c>
      <c r="B206" t="s">
        <v>213</v>
      </c>
      <c r="C206" t="s">
        <v>224</v>
      </c>
      <c r="D206" s="1">
        <v>4644556</v>
      </c>
      <c r="E206" s="1">
        <f>_xlfn.XLOOKUP($C206,'Plaza SP Tar'!$C:$C,'Plaza SP Tar'!E:E)</f>
        <v>5069681.5273835305</v>
      </c>
      <c r="F206" s="1">
        <v>10000</v>
      </c>
      <c r="G206" s="1">
        <f>_xlfn.XLOOKUP($C206,'Plaza SP Tar'!$C:$C,'Plaza SP Tar'!F:F)</f>
        <v>5793921.745581178</v>
      </c>
      <c r="H206" s="1">
        <v>18000</v>
      </c>
      <c r="I206" s="1">
        <f>_xlfn.XLOOKUP($C206,'Plaza SP Tar'!$C:$C,'Plaza SP Tar'!G:G)</f>
        <v>6373313.920139295</v>
      </c>
      <c r="J206" s="1">
        <v>25000</v>
      </c>
      <c r="K206" s="1">
        <f>_xlfn.XLOOKUP($C206,'Plaza SP Tar'!$C:$C,'Plaza SP Tar'!H:H)</f>
        <v>6952706.094697413</v>
      </c>
      <c r="L206" s="1">
        <v>30000</v>
      </c>
      <c r="M206" s="1">
        <f>_xlfn.XLOOKUP($C206,'Plaza SP Tar'!$C:$C,'Plaza SP Tar'!I:I)</f>
        <v>7532098.269255531</v>
      </c>
      <c r="N206" s="1">
        <v>40000</v>
      </c>
      <c r="O206" s="1">
        <f>_xlfn.XLOOKUP($C206,'Plaza SP Tar'!$C:$C,'Plaza SP Tar'!J:J)</f>
        <v>8111490.4438136481</v>
      </c>
      <c r="P206" s="1">
        <v>45000</v>
      </c>
      <c r="Q206" s="1">
        <f>_xlfn.XLOOKUP($C206,'Plaza SP Tar'!$C:$C,'Plaza SP Tar'!K:K)</f>
        <v>8690882.6183717661</v>
      </c>
      <c r="R206">
        <v>50000</v>
      </c>
    </row>
    <row r="207" spans="1:18" x14ac:dyDescent="0.25">
      <c r="A207" t="s">
        <v>151</v>
      </c>
      <c r="B207" t="s">
        <v>213</v>
      </c>
      <c r="C207" t="s">
        <v>225</v>
      </c>
      <c r="D207" s="1">
        <v>6369159</v>
      </c>
      <c r="E207" s="1">
        <f>_xlfn.XLOOKUP($C207,'Plaza SP Tar'!$C:$C,'Plaza SP Tar'!E:E)</f>
        <v>6952140.8994247373</v>
      </c>
      <c r="F207" s="1">
        <v>10000</v>
      </c>
      <c r="G207" s="1">
        <f>_xlfn.XLOOKUP($C207,'Plaza SP Tar'!$C:$C,'Plaza SP Tar'!F:F)</f>
        <v>7945303.8850568421</v>
      </c>
      <c r="H207" s="1">
        <v>18000</v>
      </c>
      <c r="I207" s="1">
        <f>_xlfn.XLOOKUP($C207,'Plaza SP Tar'!$C:$C,'Plaza SP Tar'!G:G)</f>
        <v>8739834.2735625263</v>
      </c>
      <c r="J207" s="1">
        <v>25000</v>
      </c>
      <c r="K207" s="1">
        <f>_xlfn.XLOOKUP($C207,'Plaza SP Tar'!$C:$C,'Plaza SP Tar'!H:H)</f>
        <v>9534364.6620682105</v>
      </c>
      <c r="L207" s="1">
        <v>30000</v>
      </c>
      <c r="M207" s="1">
        <f>_xlfn.XLOOKUP($C207,'Plaza SP Tar'!$C:$C,'Plaza SP Tar'!I:I)</f>
        <v>10328895.050573895</v>
      </c>
      <c r="N207" s="1">
        <v>40000</v>
      </c>
      <c r="O207" s="1">
        <f>_xlfn.XLOOKUP($C207,'Plaza SP Tar'!$C:$C,'Plaza SP Tar'!J:J)</f>
        <v>11123425.439079579</v>
      </c>
      <c r="P207" s="1">
        <v>45000</v>
      </c>
      <c r="Q207" s="1">
        <f>_xlfn.XLOOKUP($C207,'Plaza SP Tar'!$C:$C,'Plaza SP Tar'!K:K)</f>
        <v>11917955.827585263</v>
      </c>
      <c r="R207">
        <v>50000</v>
      </c>
    </row>
    <row r="208" spans="1:18" x14ac:dyDescent="0.25">
      <c r="A208" t="s">
        <v>151</v>
      </c>
      <c r="B208" t="s">
        <v>213</v>
      </c>
      <c r="C208" t="s">
        <v>226</v>
      </c>
      <c r="D208" s="1">
        <v>8727927</v>
      </c>
      <c r="E208" s="1">
        <f>_xlfn.XLOOKUP($C208,'Plaza SP Tar'!$C:$C,'Plaza SP Tar'!E:E)</f>
        <v>9526811.6660132762</v>
      </c>
      <c r="F208" s="1">
        <v>10000</v>
      </c>
      <c r="G208" s="1">
        <f>_xlfn.XLOOKUP($C208,'Plaza SP Tar'!$C:$C,'Plaza SP Tar'!F:F)</f>
        <v>10887784.761158029</v>
      </c>
      <c r="H208" s="1">
        <v>18000</v>
      </c>
      <c r="I208" s="1">
        <f>_xlfn.XLOOKUP($C208,'Plaza SP Tar'!$C:$C,'Plaza SP Tar'!G:G)</f>
        <v>11976563.237273831</v>
      </c>
      <c r="J208" s="1">
        <v>25000</v>
      </c>
      <c r="K208" s="1">
        <f>_xlfn.XLOOKUP($C208,'Plaza SP Tar'!$C:$C,'Plaza SP Tar'!H:H)</f>
        <v>13065341.713389635</v>
      </c>
      <c r="L208" s="1">
        <v>30000</v>
      </c>
      <c r="M208" s="1">
        <f>_xlfn.XLOOKUP($C208,'Plaza SP Tar'!$C:$C,'Plaza SP Tar'!I:I)</f>
        <v>14154120.189505437</v>
      </c>
      <c r="N208" s="1">
        <v>40000</v>
      </c>
      <c r="O208" s="1">
        <f>_xlfn.XLOOKUP($C208,'Plaza SP Tar'!$C:$C,'Plaza SP Tar'!J:J)</f>
        <v>15242898.66562124</v>
      </c>
      <c r="P208" s="1">
        <v>45000</v>
      </c>
      <c r="Q208" s="1">
        <f>_xlfn.XLOOKUP($C208,'Plaza SP Tar'!$C:$C,'Plaza SP Tar'!K:K)</f>
        <v>16331677.141737044</v>
      </c>
      <c r="R208">
        <v>50000</v>
      </c>
    </row>
    <row r="209" spans="1:18" x14ac:dyDescent="0.25">
      <c r="A209" t="s">
        <v>151</v>
      </c>
      <c r="B209" t="s">
        <v>213</v>
      </c>
      <c r="C209" t="s">
        <v>227</v>
      </c>
      <c r="D209" s="1">
        <v>5372253</v>
      </c>
      <c r="E209" s="1">
        <f>_xlfn.XLOOKUP($C209,'Plaza SP Tar'!$C:$C,'Plaza SP Tar'!E:E)</f>
        <v>5863986.0935105002</v>
      </c>
      <c r="F209" s="1">
        <v>10000</v>
      </c>
      <c r="G209" s="1">
        <f>_xlfn.XLOOKUP($C209,'Plaza SP Tar'!$C:$C,'Plaza SP Tar'!F:F)</f>
        <v>6701698.3925834289</v>
      </c>
      <c r="H209" s="1">
        <v>18000</v>
      </c>
      <c r="I209" s="1">
        <f>_xlfn.XLOOKUP($C209,'Plaza SP Tar'!$C:$C,'Plaza SP Tar'!G:G)</f>
        <v>7371868.2318417709</v>
      </c>
      <c r="J209" s="1">
        <v>25000</v>
      </c>
      <c r="K209" s="1">
        <f>_xlfn.XLOOKUP($C209,'Plaza SP Tar'!$C:$C,'Plaza SP Tar'!H:H)</f>
        <v>8042038.0711001139</v>
      </c>
      <c r="L209" s="1">
        <v>30000</v>
      </c>
      <c r="M209" s="1">
        <f>_xlfn.XLOOKUP($C209,'Plaza SP Tar'!$C:$C,'Plaza SP Tar'!I:I)</f>
        <v>8712207.9103584569</v>
      </c>
      <c r="N209" s="1">
        <v>40000</v>
      </c>
      <c r="O209" s="1">
        <f>_xlfn.XLOOKUP($C209,'Plaza SP Tar'!$C:$C,'Plaza SP Tar'!J:J)</f>
        <v>9382377.7496167999</v>
      </c>
      <c r="P209" s="1">
        <v>45000</v>
      </c>
      <c r="Q209" s="1">
        <f>_xlfn.XLOOKUP($C209,'Plaza SP Tar'!$C:$C,'Plaza SP Tar'!K:K)</f>
        <v>10052547.588875143</v>
      </c>
      <c r="R209">
        <v>50000</v>
      </c>
    </row>
    <row r="210" spans="1:18" x14ac:dyDescent="0.25">
      <c r="A210" t="s">
        <v>151</v>
      </c>
      <c r="B210" t="s">
        <v>213</v>
      </c>
      <c r="C210" t="s">
        <v>228</v>
      </c>
      <c r="D210" s="1">
        <v>2925549</v>
      </c>
      <c r="E210" s="1">
        <f>_xlfn.XLOOKUP($C210,'Plaza SP Tar'!$C:$C,'Plaza SP Tar'!E:E)</f>
        <v>3193330.3684475678</v>
      </c>
      <c r="F210" s="1">
        <v>10000</v>
      </c>
      <c r="G210" s="1">
        <f>_xlfn.XLOOKUP($C210,'Plaza SP Tar'!$C:$C,'Plaza SP Tar'!F:F)</f>
        <v>3649520.4210829344</v>
      </c>
      <c r="H210" s="1">
        <v>18000</v>
      </c>
      <c r="I210" s="1">
        <f>_xlfn.XLOOKUP($C210,'Plaza SP Tar'!$C:$C,'Plaza SP Tar'!G:G)</f>
        <v>4014472.4631912271</v>
      </c>
      <c r="J210" s="1">
        <v>25000</v>
      </c>
      <c r="K210" s="1">
        <f>_xlfn.XLOOKUP($C210,'Plaza SP Tar'!$C:$C,'Plaza SP Tar'!H:H)</f>
        <v>4379424.5052995207</v>
      </c>
      <c r="L210" s="1">
        <v>30000</v>
      </c>
      <c r="M210" s="1">
        <f>_xlfn.XLOOKUP($C210,'Plaza SP Tar'!$C:$C,'Plaza SP Tar'!I:I)</f>
        <v>4744376.5474078143</v>
      </c>
      <c r="N210" s="1">
        <v>40000</v>
      </c>
      <c r="O210" s="1">
        <f>_xlfn.XLOOKUP($C210,'Plaza SP Tar'!$C:$C,'Plaza SP Tar'!J:J)</f>
        <v>5109328.5895161079</v>
      </c>
      <c r="P210" s="1">
        <v>45000</v>
      </c>
      <c r="Q210" s="1">
        <f>_xlfn.XLOOKUP($C210,'Plaza SP Tar'!$C:$C,'Plaza SP Tar'!K:K)</f>
        <v>5474280.6316244015</v>
      </c>
      <c r="R210">
        <v>50000</v>
      </c>
    </row>
    <row r="211" spans="1:18" x14ac:dyDescent="0.25">
      <c r="A211" t="s">
        <v>229</v>
      </c>
      <c r="B211" t="s">
        <v>230</v>
      </c>
      <c r="C211" t="s">
        <v>231</v>
      </c>
      <c r="D211" s="1">
        <v>3565002</v>
      </c>
      <c r="E211" s="1">
        <f>_xlfn.XLOOKUP($C211,'Plaza SP Tar'!$C:$C,'Plaza SP Tar'!E:E)</f>
        <v>3891313.7842423134</v>
      </c>
      <c r="F211" s="1">
        <v>10000</v>
      </c>
      <c r="G211" s="1">
        <f>_xlfn.XLOOKUP($C211,'Plaza SP Tar'!$C:$C,'Plaza SP Tar'!F:F)</f>
        <v>4447215.7534197867</v>
      </c>
      <c r="H211" s="1">
        <v>18000</v>
      </c>
      <c r="I211" s="1">
        <f>_xlfn.XLOOKUP($C211,'Plaza SP Tar'!$C:$C,'Plaza SP Tar'!G:G)</f>
        <v>4891937.3287617648</v>
      </c>
      <c r="J211" s="1">
        <v>25000</v>
      </c>
      <c r="K211" s="1">
        <f>_xlfn.XLOOKUP($C211,'Plaza SP Tar'!$C:$C,'Plaza SP Tar'!H:H)</f>
        <v>5336658.9041037438</v>
      </c>
      <c r="L211" s="1">
        <v>30000</v>
      </c>
      <c r="M211" s="1">
        <f>_xlfn.XLOOKUP($C211,'Plaza SP Tar'!$C:$C,'Plaza SP Tar'!I:I)</f>
        <v>5781380.479445722</v>
      </c>
      <c r="N211" s="1">
        <v>40000</v>
      </c>
      <c r="O211" s="1">
        <f>_xlfn.XLOOKUP($C211,'Plaza SP Tar'!$C:$C,'Plaza SP Tar'!J:J)</f>
        <v>6226102.0547877001</v>
      </c>
      <c r="P211" s="1">
        <v>45000</v>
      </c>
      <c r="Q211" s="1">
        <f>_xlfn.XLOOKUP($C211,'Plaza SP Tar'!$C:$C,'Plaza SP Tar'!K:K)</f>
        <v>6670823.6301296791</v>
      </c>
      <c r="R211">
        <v>50000</v>
      </c>
    </row>
    <row r="212" spans="1:18" x14ac:dyDescent="0.25">
      <c r="A212" t="s">
        <v>229</v>
      </c>
      <c r="B212" t="s">
        <v>230</v>
      </c>
      <c r="C212" t="s">
        <v>232</v>
      </c>
      <c r="D212" s="1">
        <v>5865655</v>
      </c>
      <c r="E212" s="1">
        <f>_xlfn.XLOOKUP($C212,'Plaza SP Tar'!$C:$C,'Plaza SP Tar'!E:E)</f>
        <v>6402550.1683056131</v>
      </c>
      <c r="F212" s="1">
        <v>10000</v>
      </c>
      <c r="G212" s="1">
        <f>_xlfn.XLOOKUP($C212,'Plaza SP Tar'!$C:$C,'Plaza SP Tar'!F:F)</f>
        <v>7317200.1923492718</v>
      </c>
      <c r="H212" s="1">
        <v>18000</v>
      </c>
      <c r="I212" s="1">
        <f>_xlfn.XLOOKUP($C212,'Plaza SP Tar'!$C:$C,'Plaza SP Tar'!G:G)</f>
        <v>8048920.2115841974</v>
      </c>
      <c r="J212" s="1">
        <v>25000</v>
      </c>
      <c r="K212" s="1">
        <f>_xlfn.XLOOKUP($C212,'Plaza SP Tar'!$C:$C,'Plaza SP Tar'!H:H)</f>
        <v>8780640.2308191247</v>
      </c>
      <c r="L212" s="1">
        <v>30000</v>
      </c>
      <c r="M212" s="1">
        <f>_xlfn.XLOOKUP($C212,'Plaza SP Tar'!$C:$C,'Plaza SP Tar'!I:I)</f>
        <v>9512360.2500540521</v>
      </c>
      <c r="N212" s="1">
        <v>40000</v>
      </c>
      <c r="O212" s="1">
        <f>_xlfn.XLOOKUP($C212,'Plaza SP Tar'!$C:$C,'Plaza SP Tar'!J:J)</f>
        <v>10244080.269288979</v>
      </c>
      <c r="P212" s="1">
        <v>45000</v>
      </c>
      <c r="Q212" s="1">
        <f>_xlfn.XLOOKUP($C212,'Plaza SP Tar'!$C:$C,'Plaza SP Tar'!K:K)</f>
        <v>10975800.288523907</v>
      </c>
      <c r="R212">
        <v>50000</v>
      </c>
    </row>
    <row r="213" spans="1:18" x14ac:dyDescent="0.25">
      <c r="A213" t="s">
        <v>229</v>
      </c>
      <c r="B213" t="s">
        <v>230</v>
      </c>
      <c r="C213" t="s">
        <v>233</v>
      </c>
      <c r="D213" s="1">
        <v>4987551</v>
      </c>
      <c r="E213" s="1">
        <f>_xlfn.XLOOKUP($C213,'Plaza SP Tar'!$C:$C,'Plaza SP Tar'!E:E)</f>
        <v>5444071.5477611329</v>
      </c>
      <c r="F213" s="1">
        <v>10000</v>
      </c>
      <c r="G213" s="1">
        <f>_xlfn.XLOOKUP($C213,'Plaza SP Tar'!$C:$C,'Plaza SP Tar'!F:F)</f>
        <v>6221796.0545841511</v>
      </c>
      <c r="H213" s="1">
        <v>18000</v>
      </c>
      <c r="I213" s="1">
        <f>_xlfn.XLOOKUP($C213,'Plaza SP Tar'!$C:$C,'Plaza SP Tar'!G:G)</f>
        <v>6843975.6600425662</v>
      </c>
      <c r="J213" s="1">
        <v>25000</v>
      </c>
      <c r="K213" s="1">
        <f>_xlfn.XLOOKUP($C213,'Plaza SP Tar'!$C:$C,'Plaza SP Tar'!H:H)</f>
        <v>7466155.2655009814</v>
      </c>
      <c r="L213" s="1">
        <v>30000</v>
      </c>
      <c r="M213" s="1">
        <f>_xlfn.XLOOKUP($C213,'Plaza SP Tar'!$C:$C,'Plaza SP Tar'!I:I)</f>
        <v>8088334.8709593965</v>
      </c>
      <c r="N213" s="1">
        <v>40000</v>
      </c>
      <c r="O213" s="1">
        <f>_xlfn.XLOOKUP($C213,'Plaza SP Tar'!$C:$C,'Plaza SP Tar'!J:J)</f>
        <v>8710514.4764178116</v>
      </c>
      <c r="P213" s="1">
        <v>45000</v>
      </c>
      <c r="Q213" s="1">
        <f>_xlfn.XLOOKUP($C213,'Plaza SP Tar'!$C:$C,'Plaza SP Tar'!K:K)</f>
        <v>9332694.0818762276</v>
      </c>
      <c r="R213">
        <v>50000</v>
      </c>
    </row>
    <row r="214" spans="1:18" x14ac:dyDescent="0.25">
      <c r="A214" t="s">
        <v>229</v>
      </c>
      <c r="B214" t="s">
        <v>230</v>
      </c>
      <c r="C214" t="s">
        <v>234</v>
      </c>
      <c r="D214" s="1">
        <v>14034926</v>
      </c>
      <c r="E214" s="1">
        <f>_xlfn.XLOOKUP($C214,'Plaza SP Tar'!$C:$C,'Plaza SP Tar'!E:E)</f>
        <v>15319570.930008126</v>
      </c>
      <c r="F214" s="1">
        <v>10000</v>
      </c>
      <c r="G214" s="1">
        <f>_xlfn.XLOOKUP($C214,'Plaza SP Tar'!$C:$C,'Plaza SP Tar'!F:F)</f>
        <v>17508081.062866431</v>
      </c>
      <c r="H214" s="1">
        <v>18000</v>
      </c>
      <c r="I214" s="1">
        <f>_xlfn.XLOOKUP($C214,'Plaza SP Tar'!$C:$C,'Plaza SP Tar'!G:G)</f>
        <v>19258889.169153072</v>
      </c>
      <c r="J214" s="1">
        <v>25000</v>
      </c>
      <c r="K214" s="1">
        <f>_xlfn.XLOOKUP($C214,'Plaza SP Tar'!$C:$C,'Plaza SP Tar'!H:H)</f>
        <v>21009697.275439717</v>
      </c>
      <c r="L214" s="1">
        <v>30000</v>
      </c>
      <c r="M214" s="1">
        <f>_xlfn.XLOOKUP($C214,'Plaza SP Tar'!$C:$C,'Plaza SP Tar'!I:I)</f>
        <v>22760505.381726358</v>
      </c>
      <c r="N214" s="1">
        <v>40000</v>
      </c>
      <c r="O214" s="1">
        <f>_xlfn.XLOOKUP($C214,'Plaza SP Tar'!$C:$C,'Plaza SP Tar'!J:J)</f>
        <v>24511313.488012999</v>
      </c>
      <c r="P214" s="1">
        <v>45000</v>
      </c>
      <c r="Q214" s="1">
        <f>_xlfn.XLOOKUP($C214,'Plaza SP Tar'!$C:$C,'Plaza SP Tar'!K:K)</f>
        <v>26262121.594299644</v>
      </c>
      <c r="R214">
        <v>50000</v>
      </c>
    </row>
    <row r="215" spans="1:18" x14ac:dyDescent="0.25">
      <c r="A215" t="s">
        <v>229</v>
      </c>
      <c r="B215" t="s">
        <v>230</v>
      </c>
      <c r="C215" t="s">
        <v>235</v>
      </c>
      <c r="D215" s="1">
        <v>6626125</v>
      </c>
      <c r="E215" s="1">
        <f>_xlfn.XLOOKUP($C215,'Plaza SP Tar'!$C:$C,'Plaza SP Tar'!E:E)</f>
        <v>7232627.5128632737</v>
      </c>
      <c r="F215" s="1">
        <v>10000</v>
      </c>
      <c r="G215" s="1">
        <f>_xlfn.XLOOKUP($C215,'Plaza SP Tar'!$C:$C,'Plaza SP Tar'!F:F)</f>
        <v>8265860.0147008849</v>
      </c>
      <c r="H215" s="1">
        <v>18000</v>
      </c>
      <c r="I215" s="1">
        <f>_xlfn.XLOOKUP($C215,'Plaza SP Tar'!$C:$C,'Plaza SP Tar'!G:G)</f>
        <v>9092446.0161709711</v>
      </c>
      <c r="J215" s="1">
        <v>25000</v>
      </c>
      <c r="K215" s="1">
        <f>_xlfn.XLOOKUP($C215,'Plaza SP Tar'!$C:$C,'Plaza SP Tar'!H:H)</f>
        <v>9919032.0176410601</v>
      </c>
      <c r="L215" s="1">
        <v>30000</v>
      </c>
      <c r="M215" s="1">
        <f>_xlfn.XLOOKUP($C215,'Plaza SP Tar'!$C:$C,'Plaza SP Tar'!I:I)</f>
        <v>10745618.019111149</v>
      </c>
      <c r="N215" s="1">
        <v>40000</v>
      </c>
      <c r="O215" s="1">
        <f>_xlfn.XLOOKUP($C215,'Plaza SP Tar'!$C:$C,'Plaza SP Tar'!J:J)</f>
        <v>11572204.020581238</v>
      </c>
      <c r="P215" s="1">
        <v>45000</v>
      </c>
      <c r="Q215" s="1">
        <f>_xlfn.XLOOKUP($C215,'Plaza SP Tar'!$C:$C,'Plaza SP Tar'!K:K)</f>
        <v>12398790.022051327</v>
      </c>
      <c r="R215">
        <v>50000</v>
      </c>
    </row>
    <row r="216" spans="1:18" x14ac:dyDescent="0.25">
      <c r="A216" t="s">
        <v>229</v>
      </c>
      <c r="B216" t="s">
        <v>230</v>
      </c>
      <c r="C216" t="s">
        <v>236</v>
      </c>
      <c r="D216" s="1">
        <v>7521499</v>
      </c>
      <c r="E216" s="1">
        <f>_xlfn.XLOOKUP($C216,'Plaza SP Tar'!$C:$C,'Plaza SP Tar'!E:E)</f>
        <v>8209956.8911503488</v>
      </c>
      <c r="F216" s="1">
        <v>10000</v>
      </c>
      <c r="G216" s="1">
        <f>_xlfn.XLOOKUP($C216,'Plaza SP Tar'!$C:$C,'Plaza SP Tar'!F:F)</f>
        <v>9382807.8756003976</v>
      </c>
      <c r="H216" s="1">
        <v>18000</v>
      </c>
      <c r="I216" s="1">
        <f>_xlfn.XLOOKUP($C216,'Plaza SP Tar'!$C:$C,'Plaza SP Tar'!G:G)</f>
        <v>10321088.663160438</v>
      </c>
      <c r="J216" s="1">
        <v>25000</v>
      </c>
      <c r="K216" s="1">
        <f>_xlfn.XLOOKUP($C216,'Plaza SP Tar'!$C:$C,'Plaza SP Tar'!H:H)</f>
        <v>11259369.450720478</v>
      </c>
      <c r="L216" s="1">
        <v>30000</v>
      </c>
      <c r="M216" s="1">
        <f>_xlfn.XLOOKUP($C216,'Plaza SP Tar'!$C:$C,'Plaza SP Tar'!I:I)</f>
        <v>12197650.238280518</v>
      </c>
      <c r="N216" s="1">
        <v>40000</v>
      </c>
      <c r="O216" s="1">
        <f>_xlfn.XLOOKUP($C216,'Plaza SP Tar'!$C:$C,'Plaza SP Tar'!J:J)</f>
        <v>13135931.025840556</v>
      </c>
      <c r="P216" s="1">
        <v>45000</v>
      </c>
      <c r="Q216" s="1">
        <f>_xlfn.XLOOKUP($C216,'Plaza SP Tar'!$C:$C,'Plaza SP Tar'!K:K)</f>
        <v>14074211.813400596</v>
      </c>
      <c r="R216">
        <v>50000</v>
      </c>
    </row>
    <row r="217" spans="1:18" x14ac:dyDescent="0.25">
      <c r="A217" t="s">
        <v>229</v>
      </c>
      <c r="B217" t="s">
        <v>230</v>
      </c>
      <c r="C217" t="s">
        <v>237</v>
      </c>
      <c r="D217" s="1">
        <v>11591352</v>
      </c>
      <c r="E217" s="1">
        <f>_xlfn.XLOOKUP($C217,'Plaza SP Tar'!$C:$C,'Plaza SP Tar'!E:E)</f>
        <v>12652331.700123789</v>
      </c>
      <c r="F217" s="1">
        <v>10000</v>
      </c>
      <c r="G217" s="1">
        <f>_xlfn.XLOOKUP($C217,'Plaza SP Tar'!$C:$C,'Plaza SP Tar'!F:F)</f>
        <v>14459807.657284329</v>
      </c>
      <c r="H217" s="1">
        <v>18000</v>
      </c>
      <c r="I217" s="1">
        <f>_xlfn.XLOOKUP($C217,'Plaza SP Tar'!$C:$C,'Plaza SP Tar'!G:G)</f>
        <v>15905788.423012761</v>
      </c>
      <c r="J217" s="1">
        <v>25000</v>
      </c>
      <c r="K217" s="1">
        <f>_xlfn.XLOOKUP($C217,'Plaza SP Tar'!$C:$C,'Plaza SP Tar'!H:H)</f>
        <v>17351769.188741196</v>
      </c>
      <c r="L217" s="1">
        <v>30000</v>
      </c>
      <c r="M217" s="1">
        <f>_xlfn.XLOOKUP($C217,'Plaza SP Tar'!$C:$C,'Plaza SP Tar'!I:I)</f>
        <v>18797749.954469629</v>
      </c>
      <c r="N217" s="1">
        <v>40000</v>
      </c>
      <c r="O217" s="1">
        <f>_xlfn.XLOOKUP($C217,'Plaza SP Tar'!$C:$C,'Plaza SP Tar'!J:J)</f>
        <v>20243730.720198058</v>
      </c>
      <c r="P217" s="1">
        <v>45000</v>
      </c>
      <c r="Q217" s="1">
        <f>_xlfn.XLOOKUP($C217,'Plaza SP Tar'!$C:$C,'Plaza SP Tar'!K:K)</f>
        <v>21689711.485926494</v>
      </c>
      <c r="R217">
        <v>50000</v>
      </c>
    </row>
    <row r="218" spans="1:18" x14ac:dyDescent="0.25">
      <c r="A218" t="s">
        <v>229</v>
      </c>
      <c r="B218" t="s">
        <v>230</v>
      </c>
      <c r="C218" t="s">
        <v>238</v>
      </c>
      <c r="D218" s="1">
        <v>3210430</v>
      </c>
      <c r="E218" s="1">
        <f>_xlfn.XLOOKUP($C218,'Plaza SP Tar'!$C:$C,'Plaza SP Tar'!E:E)</f>
        <v>3504287.0978319366</v>
      </c>
      <c r="F218" s="1">
        <v>10000</v>
      </c>
      <c r="G218" s="1">
        <f>_xlfn.XLOOKUP($C218,'Plaza SP Tar'!$C:$C,'Plaza SP Tar'!F:F)</f>
        <v>4004899.5403793561</v>
      </c>
      <c r="H218" s="1">
        <v>18000</v>
      </c>
      <c r="I218" s="1">
        <f>_xlfn.XLOOKUP($C218,'Plaza SP Tar'!$C:$C,'Plaza SP Tar'!G:G)</f>
        <v>4405389.4944172911</v>
      </c>
      <c r="J218" s="1">
        <v>25000</v>
      </c>
      <c r="K218" s="1">
        <f>_xlfn.XLOOKUP($C218,'Plaza SP Tar'!$C:$C,'Plaza SP Tar'!H:H)</f>
        <v>4805879.4484552266</v>
      </c>
      <c r="L218" s="1">
        <v>30000</v>
      </c>
      <c r="M218" s="1">
        <f>_xlfn.XLOOKUP($C218,'Plaza SP Tar'!$C:$C,'Plaza SP Tar'!I:I)</f>
        <v>5206369.402493163</v>
      </c>
      <c r="N218" s="1">
        <v>40000</v>
      </c>
      <c r="O218" s="1">
        <f>_xlfn.XLOOKUP($C218,'Plaza SP Tar'!$C:$C,'Plaza SP Tar'!J:J)</f>
        <v>5606859.3565310976</v>
      </c>
      <c r="P218" s="1">
        <v>45000</v>
      </c>
      <c r="Q218" s="1">
        <f>_xlfn.XLOOKUP($C218,'Plaza SP Tar'!$C:$C,'Plaza SP Tar'!K:K)</f>
        <v>6007349.310569034</v>
      </c>
      <c r="R218">
        <v>50000</v>
      </c>
    </row>
    <row r="219" spans="1:18" x14ac:dyDescent="0.25">
      <c r="A219" t="s">
        <v>229</v>
      </c>
      <c r="B219" t="s">
        <v>230</v>
      </c>
      <c r="C219" t="s">
        <v>239</v>
      </c>
      <c r="D219" s="1">
        <v>4647767</v>
      </c>
      <c r="E219" s="1">
        <f>_xlfn.XLOOKUP($C219,'Plaza SP Tar'!$C:$C,'Plaza SP Tar'!E:E)</f>
        <v>5073186.4366546059</v>
      </c>
      <c r="F219" s="1">
        <v>10000</v>
      </c>
      <c r="G219" s="1">
        <f>_xlfn.XLOOKUP($C219,'Plaza SP Tar'!$C:$C,'Plaza SP Tar'!F:F)</f>
        <v>5797927.3561766921</v>
      </c>
      <c r="H219" s="1">
        <v>18000</v>
      </c>
      <c r="I219" s="1">
        <f>_xlfn.XLOOKUP($C219,'Plaza SP Tar'!$C:$C,'Plaza SP Tar'!G:G)</f>
        <v>6377720.0917943614</v>
      </c>
      <c r="J219" s="1">
        <v>25000</v>
      </c>
      <c r="K219" s="1">
        <f>_xlfn.XLOOKUP($C219,'Plaza SP Tar'!$C:$C,'Plaza SP Tar'!H:H)</f>
        <v>6957512.8274120307</v>
      </c>
      <c r="L219" s="1">
        <v>30000</v>
      </c>
      <c r="M219" s="1">
        <f>_xlfn.XLOOKUP($C219,'Plaza SP Tar'!$C:$C,'Plaza SP Tar'!I:I)</f>
        <v>7537305.5630297</v>
      </c>
      <c r="N219" s="1">
        <v>40000</v>
      </c>
      <c r="O219" s="1">
        <f>_xlfn.XLOOKUP($C219,'Plaza SP Tar'!$C:$C,'Plaza SP Tar'!J:J)</f>
        <v>8117098.2986473683</v>
      </c>
      <c r="P219" s="1">
        <v>45000</v>
      </c>
      <c r="Q219" s="1">
        <f>_xlfn.XLOOKUP($C219,'Plaza SP Tar'!$C:$C,'Plaza SP Tar'!K:K)</f>
        <v>8696891.0342650376</v>
      </c>
      <c r="R219">
        <v>50000</v>
      </c>
    </row>
    <row r="220" spans="1:18" x14ac:dyDescent="0.25">
      <c r="A220" t="s">
        <v>229</v>
      </c>
      <c r="B220" t="s">
        <v>230</v>
      </c>
      <c r="C220" t="s">
        <v>240</v>
      </c>
      <c r="D220" s="1">
        <v>4133021</v>
      </c>
      <c r="E220" s="1">
        <f>_xlfn.XLOOKUP($C220,'Plaza SP Tar'!$C:$C,'Plaza SP Tar'!E:E)</f>
        <v>4511324.7027246971</v>
      </c>
      <c r="F220" s="1">
        <v>10000</v>
      </c>
      <c r="G220" s="1">
        <f>_xlfn.XLOOKUP($C220,'Plaza SP Tar'!$C:$C,'Plaza SP Tar'!F:F)</f>
        <v>5155799.6602567965</v>
      </c>
      <c r="H220" s="1">
        <v>18000</v>
      </c>
      <c r="I220" s="1">
        <f>_xlfn.XLOOKUP($C220,'Plaza SP Tar'!$C:$C,'Plaza SP Tar'!G:G)</f>
        <v>5671379.626282475</v>
      </c>
      <c r="J220" s="1">
        <v>25000</v>
      </c>
      <c r="K220" s="1">
        <f>_xlfn.XLOOKUP($C220,'Plaza SP Tar'!$C:$C,'Plaza SP Tar'!H:H)</f>
        <v>6186959.5923081553</v>
      </c>
      <c r="L220" s="1">
        <v>30000</v>
      </c>
      <c r="M220" s="1">
        <f>_xlfn.XLOOKUP($C220,'Plaza SP Tar'!$C:$C,'Plaza SP Tar'!I:I)</f>
        <v>6702539.5583338356</v>
      </c>
      <c r="N220" s="1">
        <v>40000</v>
      </c>
      <c r="O220" s="1">
        <f>_xlfn.XLOOKUP($C220,'Plaza SP Tar'!$C:$C,'Plaza SP Tar'!J:J)</f>
        <v>7218119.524359514</v>
      </c>
      <c r="P220" s="1">
        <v>45000</v>
      </c>
      <c r="Q220" s="1">
        <f>_xlfn.XLOOKUP($C220,'Plaza SP Tar'!$C:$C,'Plaza SP Tar'!K:K)</f>
        <v>7733699.4903851943</v>
      </c>
      <c r="R220">
        <v>50000</v>
      </c>
    </row>
    <row r="221" spans="1:18" x14ac:dyDescent="0.25">
      <c r="A221" t="s">
        <v>229</v>
      </c>
      <c r="B221" t="s">
        <v>230</v>
      </c>
      <c r="C221" t="s">
        <v>241</v>
      </c>
      <c r="D221" s="1">
        <v>4796760</v>
      </c>
      <c r="E221" s="1">
        <f>_xlfn.XLOOKUP($C221,'Plaza SP Tar'!$C:$C,'Plaza SP Tar'!E:E)</f>
        <v>5235817.0648157168</v>
      </c>
      <c r="F221" s="1">
        <v>10000</v>
      </c>
      <c r="G221" s="1">
        <f>_xlfn.XLOOKUP($C221,'Plaza SP Tar'!$C:$C,'Plaza SP Tar'!F:F)</f>
        <v>5983790.931217961</v>
      </c>
      <c r="H221" s="1">
        <v>18000</v>
      </c>
      <c r="I221" s="1">
        <f>_xlfn.XLOOKUP($C221,'Plaza SP Tar'!$C:$C,'Plaza SP Tar'!G:G)</f>
        <v>6582170.0243397569</v>
      </c>
      <c r="J221" s="1">
        <v>25000</v>
      </c>
      <c r="K221" s="1">
        <f>_xlfn.XLOOKUP($C221,'Plaza SP Tar'!$C:$C,'Plaza SP Tar'!H:H)</f>
        <v>7180549.1174615538</v>
      </c>
      <c r="L221" s="1">
        <v>30000</v>
      </c>
      <c r="M221" s="1">
        <f>_xlfn.XLOOKUP($C221,'Plaza SP Tar'!$C:$C,'Plaza SP Tar'!I:I)</f>
        <v>7778928.2105833497</v>
      </c>
      <c r="N221" s="1">
        <v>40000</v>
      </c>
      <c r="O221" s="1">
        <f>_xlfn.XLOOKUP($C221,'Plaza SP Tar'!$C:$C,'Plaza SP Tar'!J:J)</f>
        <v>8377307.3037051456</v>
      </c>
      <c r="P221" s="1">
        <v>45000</v>
      </c>
      <c r="Q221" s="1">
        <f>_xlfn.XLOOKUP($C221,'Plaza SP Tar'!$C:$C,'Plaza SP Tar'!K:K)</f>
        <v>8975686.3968269415</v>
      </c>
      <c r="R221">
        <v>50000</v>
      </c>
    </row>
    <row r="222" spans="1:18" x14ac:dyDescent="0.25">
      <c r="A222" t="s">
        <v>229</v>
      </c>
      <c r="B222" t="s">
        <v>230</v>
      </c>
      <c r="C222" t="s">
        <v>242</v>
      </c>
      <c r="D222" s="1">
        <v>3887622</v>
      </c>
      <c r="E222" s="1">
        <f>_xlfn.XLOOKUP($C222,'Plaza SP Tar'!$C:$C,'Plaza SP Tar'!E:E)</f>
        <v>4243463.8399988757</v>
      </c>
      <c r="F222" s="1">
        <v>10000</v>
      </c>
      <c r="G222" s="1">
        <f>_xlfn.XLOOKUP($C222,'Plaza SP Tar'!$C:$C,'Plaza SP Tar'!F:F)</f>
        <v>4849672.9599987147</v>
      </c>
      <c r="H222" s="1">
        <v>18000</v>
      </c>
      <c r="I222" s="1">
        <f>_xlfn.XLOOKUP($C222,'Plaza SP Tar'!$C:$C,'Plaza SP Tar'!G:G)</f>
        <v>5334640.2559985854</v>
      </c>
      <c r="J222" s="1">
        <v>25000</v>
      </c>
      <c r="K222" s="1">
        <f>_xlfn.XLOOKUP($C222,'Plaza SP Tar'!$C:$C,'Plaza SP Tar'!H:H)</f>
        <v>5819607.5519984569</v>
      </c>
      <c r="L222" s="1">
        <v>30000</v>
      </c>
      <c r="M222" s="1">
        <f>_xlfn.XLOOKUP($C222,'Plaza SP Tar'!$C:$C,'Plaza SP Tar'!I:I)</f>
        <v>6304574.8479983285</v>
      </c>
      <c r="N222" s="1">
        <v>40000</v>
      </c>
      <c r="O222" s="1">
        <f>_xlfn.XLOOKUP($C222,'Plaza SP Tar'!$C:$C,'Plaza SP Tar'!J:J)</f>
        <v>6789542.1439981991</v>
      </c>
      <c r="P222" s="1">
        <v>45000</v>
      </c>
      <c r="Q222" s="1">
        <f>_xlfn.XLOOKUP($C222,'Plaza SP Tar'!$C:$C,'Plaza SP Tar'!K:K)</f>
        <v>7274509.4399980716</v>
      </c>
      <c r="R222">
        <v>50000</v>
      </c>
    </row>
    <row r="223" spans="1:18" x14ac:dyDescent="0.25">
      <c r="A223" t="s">
        <v>229</v>
      </c>
      <c r="B223" t="s">
        <v>230</v>
      </c>
      <c r="C223" t="s">
        <v>243</v>
      </c>
      <c r="D223" s="1">
        <v>3640417</v>
      </c>
      <c r="E223" s="1">
        <f>_xlfn.XLOOKUP($C223,'Plaza SP Tar'!$C:$C,'Plaza SP Tar'!E:E)</f>
        <v>3973631.6704703248</v>
      </c>
      <c r="F223" s="1">
        <v>10000</v>
      </c>
      <c r="G223" s="1">
        <f>_xlfn.XLOOKUP($C223,'Plaza SP Tar'!$C:$C,'Plaza SP Tar'!F:F)</f>
        <v>4541293.3376803715</v>
      </c>
      <c r="H223" s="1">
        <v>18000</v>
      </c>
      <c r="I223" s="1">
        <f>_xlfn.XLOOKUP($C223,'Plaza SP Tar'!$C:$C,'Plaza SP Tar'!G:G)</f>
        <v>4995422.6714484077</v>
      </c>
      <c r="J223" s="1">
        <v>25000</v>
      </c>
      <c r="K223" s="1">
        <f>_xlfn.XLOOKUP($C223,'Plaza SP Tar'!$C:$C,'Plaza SP Tar'!H:H)</f>
        <v>5449552.0052164448</v>
      </c>
      <c r="L223" s="1">
        <v>30000</v>
      </c>
      <c r="M223" s="1">
        <f>_xlfn.XLOOKUP($C223,'Plaza SP Tar'!$C:$C,'Plaza SP Tar'!I:I)</f>
        <v>5903681.3389844829</v>
      </c>
      <c r="N223" s="1">
        <v>40000</v>
      </c>
      <c r="O223" s="1">
        <f>_xlfn.XLOOKUP($C223,'Plaza SP Tar'!$C:$C,'Plaza SP Tar'!J:J)</f>
        <v>6357810.6727525191</v>
      </c>
      <c r="P223" s="1">
        <v>45000</v>
      </c>
      <c r="Q223" s="1">
        <f>_xlfn.XLOOKUP($C223,'Plaza SP Tar'!$C:$C,'Plaza SP Tar'!K:K)</f>
        <v>6811940.0065205563</v>
      </c>
      <c r="R223">
        <v>50000</v>
      </c>
    </row>
    <row r="224" spans="1:18" x14ac:dyDescent="0.25">
      <c r="A224" t="s">
        <v>229</v>
      </c>
      <c r="B224" t="s">
        <v>230</v>
      </c>
      <c r="C224" t="s">
        <v>244</v>
      </c>
      <c r="D224" s="1">
        <v>17376498</v>
      </c>
      <c r="E224" s="1">
        <f>_xlfn.XLOOKUP($C224,'Plaza SP Tar'!$C:$C,'Plaza SP Tar'!E:E)</f>
        <v>18967003.718163129</v>
      </c>
      <c r="F224" s="1">
        <v>10000</v>
      </c>
      <c r="G224" s="1">
        <f>_xlfn.XLOOKUP($C224,'Plaza SP Tar'!$C:$C,'Plaza SP Tar'!F:F)</f>
        <v>21676575.677900717</v>
      </c>
      <c r="H224" s="1">
        <v>18000</v>
      </c>
      <c r="I224" s="1">
        <f>_xlfn.XLOOKUP($C224,'Plaza SP Tar'!$C:$C,'Plaza SP Tar'!G:G)</f>
        <v>23844233.245690785</v>
      </c>
      <c r="J224" s="1">
        <v>25000</v>
      </c>
      <c r="K224" s="1">
        <f>_xlfn.XLOOKUP($C224,'Plaza SP Tar'!$C:$C,'Plaza SP Tar'!H:H)</f>
        <v>26011890.813480858</v>
      </c>
      <c r="L224" s="1">
        <v>30000</v>
      </c>
      <c r="M224" s="1">
        <f>_xlfn.XLOOKUP($C224,'Plaza SP Tar'!$C:$C,'Plaza SP Tar'!I:I)</f>
        <v>28179548.381270934</v>
      </c>
      <c r="N224" s="1">
        <v>40000</v>
      </c>
      <c r="O224" s="1">
        <f>_xlfn.XLOOKUP($C224,'Plaza SP Tar'!$C:$C,'Plaza SP Tar'!J:J)</f>
        <v>30347205.949061003</v>
      </c>
      <c r="P224" s="1">
        <v>45000</v>
      </c>
      <c r="Q224" s="1">
        <f>_xlfn.XLOOKUP($C224,'Plaza SP Tar'!$C:$C,'Plaza SP Tar'!K:K)</f>
        <v>32514863.516851075</v>
      </c>
      <c r="R224">
        <v>50000</v>
      </c>
    </row>
    <row r="225" spans="1:18" x14ac:dyDescent="0.25">
      <c r="A225" t="s">
        <v>229</v>
      </c>
      <c r="B225" t="s">
        <v>245</v>
      </c>
      <c r="C225" t="s">
        <v>246</v>
      </c>
      <c r="D225" s="1">
        <v>2208258</v>
      </c>
      <c r="E225" s="1">
        <f>_xlfn.XLOOKUP($C225,'Plaza SP Tar'!$C:$C,'Plaza SP Tar'!E:E)</f>
        <v>2410384.2843744163</v>
      </c>
      <c r="F225" s="1">
        <v>10000</v>
      </c>
      <c r="G225" s="1">
        <f>_xlfn.XLOOKUP($C225,'Plaza SP Tar'!$C:$C,'Plaza SP Tar'!F:F)</f>
        <v>2754724.8964279043</v>
      </c>
      <c r="H225" s="1">
        <v>18000</v>
      </c>
      <c r="I225" s="1">
        <f>_xlfn.XLOOKUP($C225,'Plaza SP Tar'!$C:$C,'Plaza SP Tar'!G:G)</f>
        <v>3030197.3860706943</v>
      </c>
      <c r="J225" s="1">
        <v>25000</v>
      </c>
      <c r="K225" s="1">
        <f>_xlfn.XLOOKUP($C225,'Plaza SP Tar'!$C:$C,'Plaza SP Tar'!H:H)</f>
        <v>3305669.8757134848</v>
      </c>
      <c r="L225" s="1">
        <v>30000</v>
      </c>
      <c r="M225" s="1">
        <f>_xlfn.XLOOKUP($C225,'Plaza SP Tar'!$C:$C,'Plaza SP Tar'!I:I)</f>
        <v>3581142.3653562753</v>
      </c>
      <c r="N225" s="1">
        <v>40000</v>
      </c>
      <c r="O225" s="1">
        <f>_xlfn.XLOOKUP($C225,'Plaza SP Tar'!$C:$C,'Plaza SP Tar'!J:J)</f>
        <v>3856614.8549990654</v>
      </c>
      <c r="P225" s="1">
        <v>45000</v>
      </c>
      <c r="Q225" s="1">
        <f>_xlfn.XLOOKUP($C225,'Plaza SP Tar'!$C:$C,'Plaza SP Tar'!K:K)</f>
        <v>4132087.3446418559</v>
      </c>
      <c r="R225">
        <v>50000</v>
      </c>
    </row>
    <row r="226" spans="1:18" x14ac:dyDescent="0.25">
      <c r="A226" t="s">
        <v>229</v>
      </c>
      <c r="B226" t="s">
        <v>245</v>
      </c>
      <c r="C226" t="s">
        <v>247</v>
      </c>
      <c r="D226" s="1">
        <v>3215789</v>
      </c>
      <c r="E226" s="1">
        <f>_xlfn.XLOOKUP($C226,'Plaza SP Tar'!$C:$C,'Plaza SP Tar'!E:E)</f>
        <v>3510136.6178517723</v>
      </c>
      <c r="F226" s="1">
        <v>10000</v>
      </c>
      <c r="G226" s="1">
        <f>_xlfn.XLOOKUP($C226,'Plaza SP Tar'!$C:$C,'Plaza SP Tar'!F:F)</f>
        <v>4011584.7061163113</v>
      </c>
      <c r="H226" s="1">
        <v>18000</v>
      </c>
      <c r="I226" s="1">
        <f>_xlfn.XLOOKUP($C226,'Plaza SP Tar'!$C:$C,'Plaza SP Tar'!G:G)</f>
        <v>4412743.1767279422</v>
      </c>
      <c r="J226" s="1">
        <v>25000</v>
      </c>
      <c r="K226" s="1">
        <f>_xlfn.XLOOKUP($C226,'Plaza SP Tar'!$C:$C,'Plaza SP Tar'!H:H)</f>
        <v>4813901.6473395731</v>
      </c>
      <c r="L226" s="1">
        <v>30000</v>
      </c>
      <c r="M226" s="1">
        <f>_xlfn.XLOOKUP($C226,'Plaza SP Tar'!$C:$C,'Plaza SP Tar'!I:I)</f>
        <v>5215060.1179512041</v>
      </c>
      <c r="N226" s="1">
        <v>40000</v>
      </c>
      <c r="O226" s="1">
        <f>_xlfn.XLOOKUP($C226,'Plaza SP Tar'!$C:$C,'Plaza SP Tar'!J:J)</f>
        <v>5616218.588562835</v>
      </c>
      <c r="P226" s="1">
        <v>45000</v>
      </c>
      <c r="Q226" s="1">
        <f>_xlfn.XLOOKUP($C226,'Plaza SP Tar'!$C:$C,'Plaza SP Tar'!K:K)</f>
        <v>6017377.0591744669</v>
      </c>
      <c r="R226">
        <v>50000</v>
      </c>
    </row>
    <row r="227" spans="1:18" x14ac:dyDescent="0.25">
      <c r="A227" t="s">
        <v>229</v>
      </c>
      <c r="B227" t="s">
        <v>245</v>
      </c>
      <c r="C227" t="s">
        <v>248</v>
      </c>
      <c r="D227" s="1">
        <v>1700000</v>
      </c>
      <c r="E227" s="1">
        <f>_xlfn.XLOOKUP($C227,'Plaza SP Tar'!$C:$C,'Plaza SP Tar'!E:E)</f>
        <v>1855604.4100990498</v>
      </c>
      <c r="F227" s="1">
        <v>10000</v>
      </c>
      <c r="G227" s="1">
        <f>_xlfn.XLOOKUP($C227,'Plaza SP Tar'!$C:$C,'Plaza SP Tar'!F:F)</f>
        <v>2120690.7543989141</v>
      </c>
      <c r="H227" s="1">
        <v>18000</v>
      </c>
      <c r="I227" s="1">
        <f>_xlfn.XLOOKUP($C227,'Plaza SP Tar'!$C:$C,'Plaza SP Tar'!G:G)</f>
        <v>2332759.8298388049</v>
      </c>
      <c r="J227" s="1">
        <v>25000</v>
      </c>
      <c r="K227" s="1">
        <f>_xlfn.XLOOKUP($C227,'Plaza SP Tar'!$C:$C,'Plaza SP Tar'!H:H)</f>
        <v>2544828.9052786967</v>
      </c>
      <c r="L227" s="1">
        <v>30000</v>
      </c>
      <c r="M227" s="1">
        <f>_xlfn.XLOOKUP($C227,'Plaza SP Tar'!$C:$C,'Plaza SP Tar'!I:I)</f>
        <v>2756897.980718588</v>
      </c>
      <c r="N227" s="1">
        <v>40000</v>
      </c>
      <c r="O227" s="1">
        <f>_xlfn.XLOOKUP($C227,'Plaza SP Tar'!$C:$C,'Plaza SP Tar'!J:J)</f>
        <v>2968967.0561584793</v>
      </c>
      <c r="P227" s="1">
        <v>45000</v>
      </c>
      <c r="Q227" s="1">
        <f>_xlfn.XLOOKUP($C227,'Plaza SP Tar'!$C:$C,'Plaza SP Tar'!K:K)</f>
        <v>3181036.1315983706</v>
      </c>
      <c r="R227">
        <v>50000</v>
      </c>
    </row>
    <row r="228" spans="1:18" x14ac:dyDescent="0.25">
      <c r="A228" t="s">
        <v>229</v>
      </c>
      <c r="B228" t="s">
        <v>245</v>
      </c>
      <c r="C228" t="s">
        <v>249</v>
      </c>
      <c r="D228" s="1">
        <v>4578412</v>
      </c>
      <c r="E228" s="1">
        <f>_xlfn.XLOOKUP($C228,'Plaza SP Tar'!$C:$C,'Plaza SP Tar'!E:E)</f>
        <v>4997483.234382594</v>
      </c>
      <c r="F228" s="1">
        <v>10000</v>
      </c>
      <c r="G228" s="1">
        <f>_xlfn.XLOOKUP($C228,'Plaza SP Tar'!$C:$C,'Plaza SP Tar'!F:F)</f>
        <v>5711409.4107229654</v>
      </c>
      <c r="H228" s="1">
        <v>18000</v>
      </c>
      <c r="I228" s="1">
        <f>_xlfn.XLOOKUP($C228,'Plaza SP Tar'!$C:$C,'Plaza SP Tar'!G:G)</f>
        <v>6282550.3517952608</v>
      </c>
      <c r="J228" s="1">
        <v>25000</v>
      </c>
      <c r="K228" s="1">
        <f>_xlfn.XLOOKUP($C228,'Plaza SP Tar'!$C:$C,'Plaza SP Tar'!H:H)</f>
        <v>6853691.2928675571</v>
      </c>
      <c r="L228" s="1">
        <v>30000</v>
      </c>
      <c r="M228" s="1">
        <f>_xlfn.XLOOKUP($C228,'Plaza SP Tar'!$C:$C,'Plaza SP Tar'!I:I)</f>
        <v>7424832.2339398544</v>
      </c>
      <c r="N228" s="1">
        <v>40000</v>
      </c>
      <c r="O228" s="1">
        <f>_xlfn.XLOOKUP($C228,'Plaza SP Tar'!$C:$C,'Plaza SP Tar'!J:J)</f>
        <v>7995973.1750121498</v>
      </c>
      <c r="P228" s="1">
        <v>45000</v>
      </c>
      <c r="Q228" s="1">
        <f>_xlfn.XLOOKUP($C228,'Plaza SP Tar'!$C:$C,'Plaza SP Tar'!K:K)</f>
        <v>8567114.1160844471</v>
      </c>
      <c r="R228">
        <v>50000</v>
      </c>
    </row>
    <row r="229" spans="1:18" x14ac:dyDescent="0.25">
      <c r="A229" t="s">
        <v>229</v>
      </c>
      <c r="B229" t="s">
        <v>245</v>
      </c>
      <c r="C229" t="s">
        <v>250</v>
      </c>
      <c r="D229" s="1">
        <v>3041696</v>
      </c>
      <c r="E229" s="1">
        <f>_xlfn.XLOOKUP($C229,'Plaza SP Tar'!$C:$C,'Plaza SP Tar'!E:E)</f>
        <v>3320108.5363415526</v>
      </c>
      <c r="F229" s="1">
        <v>10000</v>
      </c>
      <c r="G229" s="1">
        <f>_xlfn.XLOOKUP($C229,'Plaza SP Tar'!$C:$C,'Plaza SP Tar'!F:F)</f>
        <v>3794409.755818917</v>
      </c>
      <c r="H229" s="1">
        <v>18000</v>
      </c>
      <c r="I229" s="1">
        <f>_xlfn.XLOOKUP($C229,'Plaza SP Tar'!$C:$C,'Plaza SP Tar'!G:G)</f>
        <v>4173850.7314008083</v>
      </c>
      <c r="J229" s="1">
        <v>25000</v>
      </c>
      <c r="K229" s="1">
        <f>_xlfn.XLOOKUP($C229,'Plaza SP Tar'!$C:$C,'Plaza SP Tar'!H:H)</f>
        <v>4553291.7069827002</v>
      </c>
      <c r="L229" s="1">
        <v>30000</v>
      </c>
      <c r="M229" s="1">
        <f>_xlfn.XLOOKUP($C229,'Plaza SP Tar'!$C:$C,'Plaza SP Tar'!I:I)</f>
        <v>4932732.682564592</v>
      </c>
      <c r="N229" s="1">
        <v>40000</v>
      </c>
      <c r="O229" s="1">
        <f>_xlfn.XLOOKUP($C229,'Plaza SP Tar'!$C:$C,'Plaza SP Tar'!J:J)</f>
        <v>5312173.6581464829</v>
      </c>
      <c r="P229" s="1">
        <v>45000</v>
      </c>
      <c r="Q229" s="1">
        <f>_xlfn.XLOOKUP($C229,'Plaza SP Tar'!$C:$C,'Plaza SP Tar'!K:K)</f>
        <v>5691614.6337283757</v>
      </c>
      <c r="R229">
        <v>50000</v>
      </c>
    </row>
    <row r="230" spans="1:18" x14ac:dyDescent="0.25">
      <c r="A230" t="s">
        <v>229</v>
      </c>
      <c r="B230" t="s">
        <v>245</v>
      </c>
      <c r="C230" t="s">
        <v>251</v>
      </c>
      <c r="D230" s="1">
        <v>7613427</v>
      </c>
      <c r="E230" s="1">
        <f>_xlfn.XLOOKUP($C230,'Plaza SP Tar'!$C:$C,'Plaza SP Tar'!E:E)</f>
        <v>8310299.2453924576</v>
      </c>
      <c r="F230" s="1">
        <v>10000</v>
      </c>
      <c r="G230" s="1">
        <f>_xlfn.XLOOKUP($C230,'Plaza SP Tar'!$C:$C,'Plaza SP Tar'!F:F)</f>
        <v>9497484.8518770933</v>
      </c>
      <c r="H230" s="1">
        <v>18000</v>
      </c>
      <c r="I230" s="1">
        <f>_xlfn.XLOOKUP($C230,'Plaza SP Tar'!$C:$C,'Plaza SP Tar'!G:G)</f>
        <v>10447233.337064803</v>
      </c>
      <c r="J230" s="1">
        <v>25000</v>
      </c>
      <c r="K230" s="1">
        <f>_xlfn.XLOOKUP($C230,'Plaza SP Tar'!$C:$C,'Plaza SP Tar'!H:H)</f>
        <v>11396981.822252512</v>
      </c>
      <c r="L230" s="1">
        <v>30000</v>
      </c>
      <c r="M230" s="1">
        <f>_xlfn.XLOOKUP($C230,'Plaza SP Tar'!$C:$C,'Plaza SP Tar'!I:I)</f>
        <v>12346730.307440223</v>
      </c>
      <c r="N230" s="1">
        <v>40000</v>
      </c>
      <c r="O230" s="1">
        <f>_xlfn.XLOOKUP($C230,'Plaza SP Tar'!$C:$C,'Plaza SP Tar'!J:J)</f>
        <v>13296478.792627931</v>
      </c>
      <c r="P230" s="1">
        <v>45000</v>
      </c>
      <c r="Q230" s="1">
        <f>_xlfn.XLOOKUP($C230,'Plaza SP Tar'!$C:$C,'Plaza SP Tar'!K:K)</f>
        <v>14246227.27781564</v>
      </c>
      <c r="R230">
        <v>50000</v>
      </c>
    </row>
    <row r="231" spans="1:18" x14ac:dyDescent="0.25">
      <c r="A231" t="s">
        <v>229</v>
      </c>
      <c r="B231" t="s">
        <v>245</v>
      </c>
      <c r="C231" t="s">
        <v>252</v>
      </c>
      <c r="D231" s="1">
        <v>8818366</v>
      </c>
      <c r="E231" s="1">
        <f>_xlfn.XLOOKUP($C231,'Plaza SP Tar'!$C:$C,'Plaza SP Tar'!E:E)</f>
        <v>9625528.7290985398</v>
      </c>
      <c r="F231" s="1">
        <v>10000</v>
      </c>
      <c r="G231" s="1">
        <f>_xlfn.XLOOKUP($C231,'Plaza SP Tar'!$C:$C,'Plaza SP Tar'!F:F)</f>
        <v>11000604.261826903</v>
      </c>
      <c r="H231" s="1">
        <v>18000</v>
      </c>
      <c r="I231" s="1">
        <f>_xlfn.XLOOKUP($C231,'Plaza SP Tar'!$C:$C,'Plaza SP Tar'!G:G)</f>
        <v>12100664.68800959</v>
      </c>
      <c r="J231" s="1">
        <v>25000</v>
      </c>
      <c r="K231" s="1">
        <f>_xlfn.XLOOKUP($C231,'Plaza SP Tar'!$C:$C,'Plaza SP Tar'!H:H)</f>
        <v>13200725.114192281</v>
      </c>
      <c r="L231" s="1">
        <v>30000</v>
      </c>
      <c r="M231" s="1">
        <f>_xlfn.XLOOKUP($C231,'Plaza SP Tar'!$C:$C,'Plaza SP Tar'!I:I)</f>
        <v>14300785.540374972</v>
      </c>
      <c r="N231" s="1">
        <v>40000</v>
      </c>
      <c r="O231" s="1">
        <f>_xlfn.XLOOKUP($C231,'Plaza SP Tar'!$C:$C,'Plaza SP Tar'!J:J)</f>
        <v>15400845.966557661</v>
      </c>
      <c r="P231" s="1">
        <v>45000</v>
      </c>
      <c r="Q231" s="1">
        <f>_xlfn.XLOOKUP($C231,'Plaza SP Tar'!$C:$C,'Plaza SP Tar'!K:K)</f>
        <v>16500906.392740352</v>
      </c>
      <c r="R231">
        <v>50000</v>
      </c>
    </row>
    <row r="232" spans="1:18" x14ac:dyDescent="0.25">
      <c r="A232" t="s">
        <v>229</v>
      </c>
      <c r="B232" t="s">
        <v>245</v>
      </c>
      <c r="C232" t="s">
        <v>253</v>
      </c>
      <c r="D232" s="1">
        <v>4266395</v>
      </c>
      <c r="E232" s="1">
        <f>_xlfn.XLOOKUP($C232,'Plaza SP Tar'!$C:$C,'Plaza SP Tar'!E:E)</f>
        <v>4656906.6924850205</v>
      </c>
      <c r="F232" s="1">
        <v>10000</v>
      </c>
      <c r="G232" s="1">
        <f>_xlfn.XLOOKUP($C232,'Plaza SP Tar'!$C:$C,'Plaza SP Tar'!F:F)</f>
        <v>5322179.0771257384</v>
      </c>
      <c r="H232" s="1">
        <v>18000</v>
      </c>
      <c r="I232" s="1">
        <f>_xlfn.XLOOKUP($C232,'Plaza SP Tar'!$C:$C,'Plaza SP Tar'!G:G)</f>
        <v>5854396.9848383106</v>
      </c>
      <c r="J232" s="1">
        <v>25000</v>
      </c>
      <c r="K232" s="1">
        <f>_xlfn.XLOOKUP($C232,'Plaza SP Tar'!$C:$C,'Plaza SP Tar'!H:H)</f>
        <v>6386614.8925508847</v>
      </c>
      <c r="L232" s="1">
        <v>30000</v>
      </c>
      <c r="M232" s="1">
        <f>_xlfn.XLOOKUP($C232,'Plaza SP Tar'!$C:$C,'Plaza SP Tar'!I:I)</f>
        <v>6918832.8002634589</v>
      </c>
      <c r="N232" s="1">
        <v>40000</v>
      </c>
      <c r="O232" s="1">
        <f>_xlfn.XLOOKUP($C232,'Plaza SP Tar'!$C:$C,'Plaza SP Tar'!J:J)</f>
        <v>7451050.707976032</v>
      </c>
      <c r="P232" s="1">
        <v>45000</v>
      </c>
      <c r="Q232" s="1">
        <f>_xlfn.XLOOKUP($C232,'Plaza SP Tar'!$C:$C,'Plaza SP Tar'!K:K)</f>
        <v>7983268.6156886062</v>
      </c>
      <c r="R232">
        <v>50000</v>
      </c>
    </row>
    <row r="233" spans="1:18" x14ac:dyDescent="0.25">
      <c r="A233" t="s">
        <v>229</v>
      </c>
      <c r="B233" t="s">
        <v>245</v>
      </c>
      <c r="C233" t="s">
        <v>254</v>
      </c>
      <c r="D233" s="1">
        <v>2736262</v>
      </c>
      <c r="E233" s="1">
        <f>_xlfn.XLOOKUP($C233,'Plaza SP Tar'!$C:$C,'Plaza SP Tar'!E:E)</f>
        <v>2986717.5496390858</v>
      </c>
      <c r="F233" s="1">
        <v>10000</v>
      </c>
      <c r="G233" s="1">
        <f>_xlfn.XLOOKUP($C233,'Plaza SP Tar'!$C:$C,'Plaza SP Tar'!F:F)</f>
        <v>3413391.4853018122</v>
      </c>
      <c r="H233" s="1">
        <v>18000</v>
      </c>
      <c r="I233" s="1">
        <f>_xlfn.XLOOKUP($C233,'Plaza SP Tar'!$C:$C,'Plaza SP Tar'!G:G)</f>
        <v>3754730.6338319932</v>
      </c>
      <c r="J233" s="1">
        <v>25000</v>
      </c>
      <c r="K233" s="1">
        <f>_xlfn.XLOOKUP($C233,'Plaza SP Tar'!$C:$C,'Plaza SP Tar'!H:H)</f>
        <v>4096069.7823621747</v>
      </c>
      <c r="L233" s="1">
        <v>30000</v>
      </c>
      <c r="M233" s="1">
        <f>_xlfn.XLOOKUP($C233,'Plaza SP Tar'!$C:$C,'Plaza SP Tar'!I:I)</f>
        <v>4437408.9308923557</v>
      </c>
      <c r="N233" s="1">
        <v>40000</v>
      </c>
      <c r="O233" s="1">
        <f>_xlfn.XLOOKUP($C233,'Plaza SP Tar'!$C:$C,'Plaza SP Tar'!J:J)</f>
        <v>4778748.0794225372</v>
      </c>
      <c r="P233" s="1">
        <v>45000</v>
      </c>
      <c r="Q233" s="1">
        <f>_xlfn.XLOOKUP($C233,'Plaza SP Tar'!$C:$C,'Plaza SP Tar'!K:K)</f>
        <v>5120087.2279527187</v>
      </c>
      <c r="R233">
        <v>50000</v>
      </c>
    </row>
    <row r="234" spans="1:18" x14ac:dyDescent="0.25">
      <c r="A234" t="s">
        <v>229</v>
      </c>
      <c r="B234" t="s">
        <v>245</v>
      </c>
      <c r="C234" t="s">
        <v>255</v>
      </c>
      <c r="D234" s="1">
        <v>2087219</v>
      </c>
      <c r="E234" s="1">
        <f>_xlfn.XLOOKUP($C234,'Plaza SP Tar'!$C:$C,'Plaza SP Tar'!E:E)</f>
        <v>2278266.3419073699</v>
      </c>
      <c r="F234" s="1">
        <v>10000</v>
      </c>
      <c r="G234" s="1">
        <f>_xlfn.XLOOKUP($C234,'Plaza SP Tar'!$C:$C,'Plaza SP Tar'!F:F)</f>
        <v>2603732.9621798513</v>
      </c>
      <c r="H234" s="1">
        <v>18000</v>
      </c>
      <c r="I234" s="1">
        <f>_xlfn.XLOOKUP($C234,'Plaza SP Tar'!$C:$C,'Plaza SP Tar'!G:G)</f>
        <v>2864106.2583978358</v>
      </c>
      <c r="J234" s="1">
        <v>25000</v>
      </c>
      <c r="K234" s="1">
        <f>_xlfn.XLOOKUP($C234,'Plaza SP Tar'!$C:$C,'Plaza SP Tar'!H:H)</f>
        <v>3124479.5546158212</v>
      </c>
      <c r="L234" s="1">
        <v>30000</v>
      </c>
      <c r="M234" s="1">
        <f>_xlfn.XLOOKUP($C234,'Plaza SP Tar'!$C:$C,'Plaza SP Tar'!I:I)</f>
        <v>3384852.8508338062</v>
      </c>
      <c r="N234" s="1">
        <v>40000</v>
      </c>
      <c r="O234" s="1">
        <f>_xlfn.XLOOKUP($C234,'Plaza SP Tar'!$C:$C,'Plaza SP Tar'!J:J)</f>
        <v>3645226.1470517912</v>
      </c>
      <c r="P234" s="1">
        <v>45000</v>
      </c>
      <c r="Q234" s="1">
        <f>_xlfn.XLOOKUP($C234,'Plaza SP Tar'!$C:$C,'Plaza SP Tar'!K:K)</f>
        <v>3905599.4432697762</v>
      </c>
      <c r="R234">
        <v>50000</v>
      </c>
    </row>
    <row r="235" spans="1:18" x14ac:dyDescent="0.25">
      <c r="A235" t="s">
        <v>229</v>
      </c>
      <c r="B235" t="s">
        <v>245</v>
      </c>
      <c r="C235" t="s">
        <v>256</v>
      </c>
      <c r="D235" s="1">
        <v>3465265</v>
      </c>
      <c r="E235" s="1">
        <f>_xlfn.XLOOKUP($C235,'Plaza SP Tar'!$C:$C,'Plaza SP Tar'!E:E)</f>
        <v>3782447.6565658138</v>
      </c>
      <c r="F235" s="1">
        <v>10000</v>
      </c>
      <c r="G235" s="1">
        <f>_xlfn.XLOOKUP($C235,'Plaza SP Tar'!$C:$C,'Plaza SP Tar'!F:F)</f>
        <v>4322797.3217895012</v>
      </c>
      <c r="H235" s="1">
        <v>18000</v>
      </c>
      <c r="I235" s="1">
        <f>_xlfn.XLOOKUP($C235,'Plaza SP Tar'!$C:$C,'Plaza SP Tar'!G:G)</f>
        <v>4755077.053968451</v>
      </c>
      <c r="J235" s="1">
        <v>25000</v>
      </c>
      <c r="K235" s="1">
        <f>_xlfn.XLOOKUP($C235,'Plaza SP Tar'!$C:$C,'Plaza SP Tar'!H:H)</f>
        <v>5187356.7861474017</v>
      </c>
      <c r="L235" s="1">
        <v>30000</v>
      </c>
      <c r="M235" s="1">
        <f>_xlfn.XLOOKUP($C235,'Plaza SP Tar'!$C:$C,'Plaza SP Tar'!I:I)</f>
        <v>5619636.5183263514</v>
      </c>
      <c r="N235" s="1">
        <v>40000</v>
      </c>
      <c r="O235" s="1">
        <f>_xlfn.XLOOKUP($C235,'Plaza SP Tar'!$C:$C,'Plaza SP Tar'!J:J)</f>
        <v>6051916.2505053012</v>
      </c>
      <c r="P235" s="1">
        <v>45000</v>
      </c>
      <c r="Q235" s="1">
        <f>_xlfn.XLOOKUP($C235,'Plaza SP Tar'!$C:$C,'Plaza SP Tar'!K:K)</f>
        <v>6484195.9826842519</v>
      </c>
      <c r="R235">
        <v>50000</v>
      </c>
    </row>
    <row r="236" spans="1:18" x14ac:dyDescent="0.25">
      <c r="A236" t="s">
        <v>229</v>
      </c>
      <c r="B236" t="s">
        <v>245</v>
      </c>
      <c r="C236" t="s">
        <v>257</v>
      </c>
      <c r="D236" s="1">
        <v>3643791</v>
      </c>
      <c r="E236" s="1">
        <f>_xlfn.XLOOKUP($C236,'Plaza SP Tar'!$C:$C,'Plaza SP Tar'!E:E)</f>
        <v>3977314.4994583684</v>
      </c>
      <c r="F236" s="1">
        <v>10000</v>
      </c>
      <c r="G236" s="1">
        <f>_xlfn.XLOOKUP($C236,'Plaza SP Tar'!$C:$C,'Plaza SP Tar'!F:F)</f>
        <v>4545502.2850952782</v>
      </c>
      <c r="H236" s="1">
        <v>18000</v>
      </c>
      <c r="I236" s="1">
        <f>_xlfn.XLOOKUP($C236,'Plaza SP Tar'!$C:$C,'Plaza SP Tar'!G:G)</f>
        <v>5000052.5136048058</v>
      </c>
      <c r="J236" s="1">
        <v>25000</v>
      </c>
      <c r="K236" s="1">
        <f>_xlfn.XLOOKUP($C236,'Plaza SP Tar'!$C:$C,'Plaza SP Tar'!H:H)</f>
        <v>5454602.7421143334</v>
      </c>
      <c r="L236" s="1">
        <v>30000</v>
      </c>
      <c r="M236" s="1">
        <f>_xlfn.XLOOKUP($C236,'Plaza SP Tar'!$C:$C,'Plaza SP Tar'!I:I)</f>
        <v>5909152.970623862</v>
      </c>
      <c r="N236" s="1">
        <v>40000</v>
      </c>
      <c r="O236" s="1">
        <f>_xlfn.XLOOKUP($C236,'Plaza SP Tar'!$C:$C,'Plaza SP Tar'!J:J)</f>
        <v>6363703.1991333887</v>
      </c>
      <c r="P236" s="1">
        <v>45000</v>
      </c>
      <c r="Q236" s="1">
        <f>_xlfn.XLOOKUP($C236,'Plaza SP Tar'!$C:$C,'Plaza SP Tar'!K:K)</f>
        <v>6818253.4276429173</v>
      </c>
      <c r="R236">
        <v>50000</v>
      </c>
    </row>
    <row r="237" spans="1:18" x14ac:dyDescent="0.25">
      <c r="A237" t="s">
        <v>229</v>
      </c>
      <c r="B237" t="s">
        <v>245</v>
      </c>
      <c r="C237" t="s">
        <v>258</v>
      </c>
      <c r="D237" s="1">
        <v>2477563</v>
      </c>
      <c r="E237" s="1">
        <f>_xlfn.XLOOKUP($C237,'Plaza SP Tar'!$C:$C,'Plaza SP Tar'!E:E)</f>
        <v>2704339.3112342539</v>
      </c>
      <c r="F237" s="1">
        <v>10000</v>
      </c>
      <c r="G237" s="1">
        <f>_xlfn.XLOOKUP($C237,'Plaza SP Tar'!$C:$C,'Plaza SP Tar'!F:F)</f>
        <v>3090673.498553433</v>
      </c>
      <c r="H237" s="1">
        <v>18000</v>
      </c>
      <c r="I237" s="1">
        <f>_xlfn.XLOOKUP($C237,'Plaza SP Tar'!$C:$C,'Plaza SP Tar'!G:G)</f>
        <v>3399740.8484087763</v>
      </c>
      <c r="J237" s="1">
        <v>25000</v>
      </c>
      <c r="K237" s="1">
        <f>_xlfn.XLOOKUP($C237,'Plaza SP Tar'!$C:$C,'Plaza SP Tar'!H:H)</f>
        <v>3708808.1982641197</v>
      </c>
      <c r="L237" s="1">
        <v>30000</v>
      </c>
      <c r="M237" s="1">
        <f>_xlfn.XLOOKUP($C237,'Plaza SP Tar'!$C:$C,'Plaza SP Tar'!I:I)</f>
        <v>4017875.548119463</v>
      </c>
      <c r="N237" s="1">
        <v>40000</v>
      </c>
      <c r="O237" s="1">
        <f>_xlfn.XLOOKUP($C237,'Plaza SP Tar'!$C:$C,'Plaza SP Tar'!J:J)</f>
        <v>4326942.8979748059</v>
      </c>
      <c r="P237" s="1">
        <v>45000</v>
      </c>
      <c r="Q237" s="1">
        <f>_xlfn.XLOOKUP($C237,'Plaza SP Tar'!$C:$C,'Plaza SP Tar'!K:K)</f>
        <v>4636010.2478301497</v>
      </c>
      <c r="R237">
        <v>50000</v>
      </c>
    </row>
    <row r="238" spans="1:18" x14ac:dyDescent="0.25">
      <c r="A238" t="s">
        <v>229</v>
      </c>
      <c r="B238" t="s">
        <v>245</v>
      </c>
      <c r="C238" t="s">
        <v>259</v>
      </c>
      <c r="D238" s="1">
        <v>2435820</v>
      </c>
      <c r="E238" s="1">
        <f>_xlfn.XLOOKUP($C238,'Plaza SP Tar'!$C:$C,'Plaza SP Tar'!E:E)</f>
        <v>2658775.4907102748</v>
      </c>
      <c r="F238" s="1">
        <v>10000</v>
      </c>
      <c r="G238" s="1">
        <f>_xlfn.XLOOKUP($C238,'Plaza SP Tar'!$C:$C,'Plaza SP Tar'!F:F)</f>
        <v>3038600.5608117427</v>
      </c>
      <c r="H238" s="1">
        <v>18000</v>
      </c>
      <c r="I238" s="1">
        <f>_xlfn.XLOOKUP($C238,'Plaza SP Tar'!$C:$C,'Plaza SP Tar'!G:G)</f>
        <v>3342460.6168929166</v>
      </c>
      <c r="J238" s="1">
        <v>25000</v>
      </c>
      <c r="K238" s="1">
        <f>_xlfn.XLOOKUP($C238,'Plaza SP Tar'!$C:$C,'Plaza SP Tar'!H:H)</f>
        <v>3646320.672974091</v>
      </c>
      <c r="L238" s="1">
        <v>30000</v>
      </c>
      <c r="M238" s="1">
        <f>_xlfn.XLOOKUP($C238,'Plaza SP Tar'!$C:$C,'Plaza SP Tar'!I:I)</f>
        <v>3950180.7290552654</v>
      </c>
      <c r="N238" s="1">
        <v>40000</v>
      </c>
      <c r="O238" s="1">
        <f>_xlfn.XLOOKUP($C238,'Plaza SP Tar'!$C:$C,'Plaza SP Tar'!J:J)</f>
        <v>4254040.7851364389</v>
      </c>
      <c r="P238" s="1">
        <v>45000</v>
      </c>
      <c r="Q238" s="1">
        <f>_xlfn.XLOOKUP($C238,'Plaza SP Tar'!$C:$C,'Plaza SP Tar'!K:K)</f>
        <v>4557900.8412176138</v>
      </c>
      <c r="R238">
        <v>50000</v>
      </c>
    </row>
    <row r="239" spans="1:18" x14ac:dyDescent="0.25">
      <c r="A239" t="s">
        <v>229</v>
      </c>
      <c r="B239" t="s">
        <v>260</v>
      </c>
      <c r="C239" t="s">
        <v>261</v>
      </c>
      <c r="D239" s="1">
        <v>4036244</v>
      </c>
      <c r="E239" s="1">
        <f>_xlfn.XLOOKUP($C239,'Plaza SP Tar'!$C:$C,'Plaza SP Tar'!E:E)</f>
        <v>4405689.5097857816</v>
      </c>
      <c r="F239" s="1">
        <v>10000</v>
      </c>
      <c r="G239" s="1">
        <f>_xlfn.XLOOKUP($C239,'Plaza SP Tar'!$C:$C,'Plaza SP Tar'!F:F)</f>
        <v>5035073.7254694644</v>
      </c>
      <c r="H239" s="1">
        <v>18000</v>
      </c>
      <c r="I239" s="1">
        <f>_xlfn.XLOOKUP($C239,'Plaza SP Tar'!$C:$C,'Plaza SP Tar'!G:G)</f>
        <v>5538581.0980164101</v>
      </c>
      <c r="J239" s="1">
        <v>25000</v>
      </c>
      <c r="K239" s="1">
        <f>_xlfn.XLOOKUP($C239,'Plaza SP Tar'!$C:$C,'Plaza SP Tar'!H:H)</f>
        <v>6042088.4705633577</v>
      </c>
      <c r="L239" s="1">
        <v>30000</v>
      </c>
      <c r="M239" s="1">
        <f>_xlfn.XLOOKUP($C239,'Plaza SP Tar'!$C:$C,'Plaza SP Tar'!I:I)</f>
        <v>6545595.8431103043</v>
      </c>
      <c r="N239" s="1">
        <v>40000</v>
      </c>
      <c r="O239" s="1">
        <f>_xlfn.XLOOKUP($C239,'Plaza SP Tar'!$C:$C,'Plaza SP Tar'!J:J)</f>
        <v>7049103.21565725</v>
      </c>
      <c r="P239" s="1">
        <v>45000</v>
      </c>
      <c r="Q239" s="1">
        <f>_xlfn.XLOOKUP($C239,'Plaza SP Tar'!$C:$C,'Plaza SP Tar'!K:K)</f>
        <v>7552610.5882041967</v>
      </c>
      <c r="R239">
        <v>50000</v>
      </c>
    </row>
    <row r="240" spans="1:18" x14ac:dyDescent="0.25">
      <c r="A240" t="s">
        <v>229</v>
      </c>
      <c r="B240" t="s">
        <v>260</v>
      </c>
      <c r="C240" t="s">
        <v>262</v>
      </c>
      <c r="D240" s="1">
        <v>4496588</v>
      </c>
      <c r="E240" s="1">
        <f>_xlfn.XLOOKUP($C240,'Plaza SP Tar'!$C:$C,'Plaza SP Tar'!E:E)</f>
        <v>4908169.7195285093</v>
      </c>
      <c r="F240" s="1">
        <v>10000</v>
      </c>
      <c r="G240" s="1">
        <f>_xlfn.XLOOKUP($C240,'Plaza SP Tar'!$C:$C,'Plaza SP Tar'!F:F)</f>
        <v>5609336.8223182959</v>
      </c>
      <c r="H240" s="1">
        <v>18000</v>
      </c>
      <c r="I240" s="1">
        <f>_xlfn.XLOOKUP($C240,'Plaza SP Tar'!$C:$C,'Plaza SP Tar'!G:G)</f>
        <v>6170270.5045501254</v>
      </c>
      <c r="J240" s="1">
        <v>25000</v>
      </c>
      <c r="K240" s="1">
        <f>_xlfn.XLOOKUP($C240,'Plaza SP Tar'!$C:$C,'Plaza SP Tar'!H:H)</f>
        <v>6731204.186781955</v>
      </c>
      <c r="L240" s="1">
        <v>30000</v>
      </c>
      <c r="M240" s="1">
        <f>_xlfn.XLOOKUP($C240,'Plaza SP Tar'!$C:$C,'Plaza SP Tar'!I:I)</f>
        <v>7292137.8690137854</v>
      </c>
      <c r="N240" s="1">
        <v>40000</v>
      </c>
      <c r="O240" s="1">
        <f>_xlfn.XLOOKUP($C240,'Plaza SP Tar'!$C:$C,'Plaza SP Tar'!J:J)</f>
        <v>7853071.551245614</v>
      </c>
      <c r="P240" s="1">
        <v>45000</v>
      </c>
      <c r="Q240" s="1">
        <f>_xlfn.XLOOKUP($C240,'Plaza SP Tar'!$C:$C,'Plaza SP Tar'!K:K)</f>
        <v>8414005.2334774435</v>
      </c>
      <c r="R240">
        <v>50000</v>
      </c>
    </row>
    <row r="241" spans="1:18" x14ac:dyDescent="0.25">
      <c r="A241" t="s">
        <v>229</v>
      </c>
      <c r="B241" t="s">
        <v>260</v>
      </c>
      <c r="C241" t="s">
        <v>263</v>
      </c>
      <c r="D241" s="1">
        <v>8468567</v>
      </c>
      <c r="E241" s="1">
        <f>_xlfn.XLOOKUP($C241,'Plaza SP Tar'!$C:$C,'Plaza SP Tar'!E:E)</f>
        <v>9243711.9249525182</v>
      </c>
      <c r="F241" s="1">
        <v>10000</v>
      </c>
      <c r="G241" s="1">
        <f>_xlfn.XLOOKUP($C241,'Plaza SP Tar'!$C:$C,'Plaza SP Tar'!F:F)</f>
        <v>10564242.199945733</v>
      </c>
      <c r="H241" s="1">
        <v>18000</v>
      </c>
      <c r="I241" s="1">
        <f>_xlfn.XLOOKUP($C241,'Plaza SP Tar'!$C:$C,'Plaza SP Tar'!G:G)</f>
        <v>11620666.419940306</v>
      </c>
      <c r="J241" s="1">
        <v>25000</v>
      </c>
      <c r="K241" s="1">
        <f>_xlfn.XLOOKUP($C241,'Plaza SP Tar'!$C:$C,'Plaza SP Tar'!H:H)</f>
        <v>12677090.639934881</v>
      </c>
      <c r="L241" s="1">
        <v>30000</v>
      </c>
      <c r="M241" s="1">
        <f>_xlfn.XLOOKUP($C241,'Plaza SP Tar'!$C:$C,'Plaza SP Tar'!I:I)</f>
        <v>13733514.859929454</v>
      </c>
      <c r="N241" s="1">
        <v>40000</v>
      </c>
      <c r="O241" s="1">
        <f>_xlfn.XLOOKUP($C241,'Plaza SP Tar'!$C:$C,'Plaza SP Tar'!J:J)</f>
        <v>14789939.079924027</v>
      </c>
      <c r="P241" s="1">
        <v>45000</v>
      </c>
      <c r="Q241" s="1">
        <f>_xlfn.XLOOKUP($C241,'Plaza SP Tar'!$C:$C,'Plaza SP Tar'!K:K)</f>
        <v>15846363.299918599</v>
      </c>
      <c r="R241">
        <v>50000</v>
      </c>
    </row>
    <row r="242" spans="1:18" x14ac:dyDescent="0.25">
      <c r="A242" t="s">
        <v>229</v>
      </c>
      <c r="B242" t="s">
        <v>260</v>
      </c>
      <c r="C242" t="s">
        <v>264</v>
      </c>
      <c r="D242" s="1">
        <v>6411105</v>
      </c>
      <c r="E242" s="1">
        <f>_xlfn.XLOOKUP($C242,'Plaza SP Tar'!$C:$C,'Plaza SP Tar'!E:E)</f>
        <v>6997926.3009459227</v>
      </c>
      <c r="F242" s="1">
        <v>10000</v>
      </c>
      <c r="G242" s="1">
        <f>_xlfn.XLOOKUP($C242,'Plaza SP Tar'!$C:$C,'Plaza SP Tar'!F:F)</f>
        <v>7997630.0582239116</v>
      </c>
      <c r="H242" s="1">
        <v>18000</v>
      </c>
      <c r="I242" s="1">
        <f>_xlfn.XLOOKUP($C242,'Plaza SP Tar'!$C:$C,'Plaza SP Tar'!G:G)</f>
        <v>8797393.0640463009</v>
      </c>
      <c r="J242" s="1">
        <v>25000</v>
      </c>
      <c r="K242" s="1">
        <f>_xlfn.XLOOKUP($C242,'Plaza SP Tar'!$C:$C,'Plaza SP Tar'!H:H)</f>
        <v>9597156.0698686931</v>
      </c>
      <c r="L242" s="1">
        <v>30000</v>
      </c>
      <c r="M242" s="1">
        <f>_xlfn.XLOOKUP($C242,'Plaza SP Tar'!$C:$C,'Plaza SP Tar'!I:I)</f>
        <v>10396919.075691085</v>
      </c>
      <c r="N242" s="1">
        <v>40000</v>
      </c>
      <c r="O242" s="1">
        <f>_xlfn.XLOOKUP($C242,'Plaza SP Tar'!$C:$C,'Plaza SP Tar'!J:J)</f>
        <v>11196682.081513474</v>
      </c>
      <c r="P242" s="1">
        <v>45000</v>
      </c>
      <c r="Q242" s="1">
        <f>_xlfn.XLOOKUP($C242,'Plaza SP Tar'!$C:$C,'Plaza SP Tar'!K:K)</f>
        <v>11996445.087335866</v>
      </c>
      <c r="R242">
        <v>50000</v>
      </c>
    </row>
    <row r="243" spans="1:18" x14ac:dyDescent="0.25">
      <c r="A243" t="s">
        <v>229</v>
      </c>
      <c r="B243" t="s">
        <v>260</v>
      </c>
      <c r="C243" t="s">
        <v>265</v>
      </c>
      <c r="D243" s="1">
        <v>9592293</v>
      </c>
      <c r="E243" s="1">
        <f>_xlfn.XLOOKUP($C243,'Plaza SP Tar'!$C:$C,'Plaza SP Tar'!E:E)</f>
        <v>10470294.819860144</v>
      </c>
      <c r="F243" s="1">
        <v>10000</v>
      </c>
      <c r="G243" s="1">
        <f>_xlfn.XLOOKUP($C243,'Plaza SP Tar'!$C:$C,'Plaza SP Tar'!F:F)</f>
        <v>11966051.222697306</v>
      </c>
      <c r="H243" s="1">
        <v>18000</v>
      </c>
      <c r="I243" s="1">
        <f>_xlfn.XLOOKUP($C243,'Plaza SP Tar'!$C:$C,'Plaza SP Tar'!G:G)</f>
        <v>13162656.344967036</v>
      </c>
      <c r="J243" s="1">
        <v>25000</v>
      </c>
      <c r="K243" s="1">
        <f>_xlfn.XLOOKUP($C243,'Plaza SP Tar'!$C:$C,'Plaza SP Tar'!H:H)</f>
        <v>14359261.467236767</v>
      </c>
      <c r="L243" s="1">
        <v>30000</v>
      </c>
      <c r="M243" s="1">
        <f>_xlfn.XLOOKUP($C243,'Plaza SP Tar'!$C:$C,'Plaza SP Tar'!I:I)</f>
        <v>15555866.589506499</v>
      </c>
      <c r="N243" s="1">
        <v>40000</v>
      </c>
      <c r="O243" s="1">
        <f>_xlfn.XLOOKUP($C243,'Plaza SP Tar'!$C:$C,'Plaza SP Tar'!J:J)</f>
        <v>16752471.711776229</v>
      </c>
      <c r="P243" s="1">
        <v>45000</v>
      </c>
      <c r="Q243" s="1">
        <f>_xlfn.XLOOKUP($C243,'Plaza SP Tar'!$C:$C,'Plaza SP Tar'!K:K)</f>
        <v>17949076.834045958</v>
      </c>
      <c r="R243">
        <v>50000</v>
      </c>
    </row>
    <row r="244" spans="1:18" x14ac:dyDescent="0.25">
      <c r="A244" t="s">
        <v>229</v>
      </c>
      <c r="B244" t="s">
        <v>260</v>
      </c>
      <c r="C244" t="s">
        <v>266</v>
      </c>
      <c r="D244" s="1">
        <v>5696418</v>
      </c>
      <c r="E244" s="1">
        <f>_xlfn.XLOOKUP($C244,'Plaza SP Tar'!$C:$C,'Plaza SP Tar'!E:E)</f>
        <v>6217822.5662162406</v>
      </c>
      <c r="F244" s="1">
        <v>10000</v>
      </c>
      <c r="G244" s="1">
        <f>_xlfn.XLOOKUP($C244,'Plaza SP Tar'!$C:$C,'Plaza SP Tar'!F:F)</f>
        <v>7106082.9328185599</v>
      </c>
      <c r="H244" s="1">
        <v>18000</v>
      </c>
      <c r="I244" s="1">
        <f>_xlfn.XLOOKUP($C244,'Plaza SP Tar'!$C:$C,'Plaza SP Tar'!G:G)</f>
        <v>7816691.2261004159</v>
      </c>
      <c r="J244" s="1">
        <v>25000</v>
      </c>
      <c r="K244" s="1">
        <f>_xlfn.XLOOKUP($C244,'Plaza SP Tar'!$C:$C,'Plaza SP Tar'!H:H)</f>
        <v>8527299.5193822719</v>
      </c>
      <c r="L244" s="1">
        <v>30000</v>
      </c>
      <c r="M244" s="1">
        <f>_xlfn.XLOOKUP($C244,'Plaza SP Tar'!$C:$C,'Plaza SP Tar'!I:I)</f>
        <v>9237907.8126641288</v>
      </c>
      <c r="N244" s="1">
        <v>40000</v>
      </c>
      <c r="O244" s="1">
        <f>_xlfn.XLOOKUP($C244,'Plaza SP Tar'!$C:$C,'Plaza SP Tar'!J:J)</f>
        <v>9948516.1059459839</v>
      </c>
      <c r="P244" s="1">
        <v>45000</v>
      </c>
      <c r="Q244" s="1">
        <f>_xlfn.XLOOKUP($C244,'Plaza SP Tar'!$C:$C,'Plaza SP Tar'!K:K)</f>
        <v>10659124.399227839</v>
      </c>
      <c r="R244">
        <v>50000</v>
      </c>
    </row>
    <row r="245" spans="1:18" x14ac:dyDescent="0.25">
      <c r="A245" t="s">
        <v>229</v>
      </c>
      <c r="B245" t="s">
        <v>260</v>
      </c>
      <c r="C245" t="s">
        <v>267</v>
      </c>
      <c r="D245" s="1">
        <v>7377618</v>
      </c>
      <c r="E245" s="1">
        <f>_xlfn.XLOOKUP($C245,'Plaza SP Tar'!$C:$C,'Plaza SP Tar'!E:E)</f>
        <v>8052906.1746036066</v>
      </c>
      <c r="F245" s="1">
        <v>10000</v>
      </c>
      <c r="G245" s="1">
        <f>_xlfn.XLOOKUP($C245,'Plaza SP Tar'!$C:$C,'Plaza SP Tar'!F:F)</f>
        <v>9203321.3424041215</v>
      </c>
      <c r="H245" s="1">
        <v>18000</v>
      </c>
      <c r="I245" s="1">
        <f>_xlfn.XLOOKUP($C245,'Plaza SP Tar'!$C:$C,'Plaza SP Tar'!G:G)</f>
        <v>10123653.476644533</v>
      </c>
      <c r="J245" s="1">
        <v>25000</v>
      </c>
      <c r="K245" s="1">
        <f>_xlfn.XLOOKUP($C245,'Plaza SP Tar'!$C:$C,'Plaza SP Tar'!H:H)</f>
        <v>11043985.610884946</v>
      </c>
      <c r="L245" s="1">
        <v>30000</v>
      </c>
      <c r="M245" s="1">
        <f>_xlfn.XLOOKUP($C245,'Plaza SP Tar'!$C:$C,'Plaza SP Tar'!I:I)</f>
        <v>11964317.745125357</v>
      </c>
      <c r="N245" s="1">
        <v>40000</v>
      </c>
      <c r="O245" s="1">
        <f>_xlfn.XLOOKUP($C245,'Plaza SP Tar'!$C:$C,'Plaza SP Tar'!J:J)</f>
        <v>12884649.879365768</v>
      </c>
      <c r="P245" s="1">
        <v>45000</v>
      </c>
      <c r="Q245" s="1">
        <f>_xlfn.XLOOKUP($C245,'Plaza SP Tar'!$C:$C,'Plaza SP Tar'!K:K)</f>
        <v>13804982.013606181</v>
      </c>
      <c r="R245">
        <v>50000</v>
      </c>
    </row>
    <row r="246" spans="1:18" x14ac:dyDescent="0.25">
      <c r="A246" t="s">
        <v>229</v>
      </c>
      <c r="B246" t="s">
        <v>260</v>
      </c>
      <c r="C246" t="s">
        <v>268</v>
      </c>
      <c r="D246" s="1">
        <v>11565185</v>
      </c>
      <c r="E246" s="1">
        <f>_xlfn.XLOOKUP($C246,'Plaza SP Tar'!$C:$C,'Plaza SP Tar'!E:E)</f>
        <v>12623769.582124341</v>
      </c>
      <c r="F246" s="1">
        <v>10000</v>
      </c>
      <c r="G246" s="1">
        <f>_xlfn.XLOOKUP($C246,'Plaza SP Tar'!$C:$C,'Plaza SP Tar'!F:F)</f>
        <v>14427165.236713532</v>
      </c>
      <c r="H246" s="1">
        <v>18000</v>
      </c>
      <c r="I246" s="1">
        <f>_xlfn.XLOOKUP($C246,'Plaza SP Tar'!$C:$C,'Plaza SP Tar'!G:G)</f>
        <v>15869881.760384884</v>
      </c>
      <c r="J246" s="1">
        <v>25000</v>
      </c>
      <c r="K246" s="1">
        <f>_xlfn.XLOOKUP($C246,'Plaza SP Tar'!$C:$C,'Plaza SP Tar'!H:H)</f>
        <v>17312598.284056235</v>
      </c>
      <c r="L246" s="1">
        <v>30000</v>
      </c>
      <c r="M246" s="1">
        <f>_xlfn.XLOOKUP($C246,'Plaza SP Tar'!$C:$C,'Plaza SP Tar'!I:I)</f>
        <v>18755314.80772759</v>
      </c>
      <c r="N246" s="1">
        <v>40000</v>
      </c>
      <c r="O246" s="1">
        <f>_xlfn.XLOOKUP($C246,'Plaza SP Tar'!$C:$C,'Plaza SP Tar'!J:J)</f>
        <v>20198031.331398942</v>
      </c>
      <c r="P246" s="1">
        <v>45000</v>
      </c>
      <c r="Q246" s="1">
        <f>_xlfn.XLOOKUP($C246,'Plaza SP Tar'!$C:$C,'Plaza SP Tar'!K:K)</f>
        <v>21640747.855070297</v>
      </c>
      <c r="R246">
        <v>50000</v>
      </c>
    </row>
    <row r="247" spans="1:18" x14ac:dyDescent="0.25">
      <c r="A247" t="s">
        <v>229</v>
      </c>
      <c r="B247" t="s">
        <v>260</v>
      </c>
      <c r="C247" t="s">
        <v>269</v>
      </c>
      <c r="D247" s="1">
        <v>5852049</v>
      </c>
      <c r="E247" s="1">
        <f>_xlfn.XLOOKUP($C247,'Plaza SP Tar'!$C:$C,'Plaza SP Tar'!E:E)</f>
        <v>6387698.7838327847</v>
      </c>
      <c r="F247" s="1">
        <v>10000</v>
      </c>
      <c r="G247" s="1">
        <f>_xlfn.XLOOKUP($C247,'Plaza SP Tar'!$C:$C,'Plaza SP Tar'!F:F)</f>
        <v>7300227.1815231824</v>
      </c>
      <c r="H247" s="1">
        <v>18000</v>
      </c>
      <c r="I247" s="1">
        <f>_xlfn.XLOOKUP($C247,'Plaza SP Tar'!$C:$C,'Plaza SP Tar'!G:G)</f>
        <v>8030249.8996754996</v>
      </c>
      <c r="J247" s="1">
        <v>25000</v>
      </c>
      <c r="K247" s="1">
        <f>_xlfn.XLOOKUP($C247,'Plaza SP Tar'!$C:$C,'Plaza SP Tar'!H:H)</f>
        <v>8760272.6178278178</v>
      </c>
      <c r="L247" s="1">
        <v>30000</v>
      </c>
      <c r="M247" s="1">
        <f>_xlfn.XLOOKUP($C247,'Plaza SP Tar'!$C:$C,'Plaza SP Tar'!I:I)</f>
        <v>9490295.3359801378</v>
      </c>
      <c r="N247" s="1">
        <v>40000</v>
      </c>
      <c r="O247" s="1">
        <f>_xlfn.XLOOKUP($C247,'Plaza SP Tar'!$C:$C,'Plaza SP Tar'!J:J)</f>
        <v>10220318.054132454</v>
      </c>
      <c r="P247" s="1">
        <v>45000</v>
      </c>
      <c r="Q247" s="1">
        <f>_xlfn.XLOOKUP($C247,'Plaza SP Tar'!$C:$C,'Plaza SP Tar'!K:K)</f>
        <v>10950340.772284772</v>
      </c>
      <c r="R247">
        <v>50000</v>
      </c>
    </row>
    <row r="248" spans="1:18" x14ac:dyDescent="0.25">
      <c r="A248" t="s">
        <v>229</v>
      </c>
      <c r="B248" t="s">
        <v>260</v>
      </c>
      <c r="C248" t="s">
        <v>270</v>
      </c>
      <c r="D248" s="1">
        <v>3387797</v>
      </c>
      <c r="E248" s="1">
        <f>_xlfn.XLOOKUP($C248,'Plaza SP Tar'!$C:$C,'Plaza SP Tar'!E:E)</f>
        <v>3697888.8551296061</v>
      </c>
      <c r="F248" s="1">
        <v>10000</v>
      </c>
      <c r="G248" s="1">
        <f>_xlfn.XLOOKUP($C248,'Plaza SP Tar'!$C:$C,'Plaza SP Tar'!F:F)</f>
        <v>4226158.6915766923</v>
      </c>
      <c r="H248" s="1">
        <v>18000</v>
      </c>
      <c r="I248" s="1">
        <f>_xlfn.XLOOKUP($C248,'Plaza SP Tar'!$C:$C,'Plaza SP Tar'!G:G)</f>
        <v>4648774.5607343614</v>
      </c>
      <c r="J248" s="1">
        <v>25000</v>
      </c>
      <c r="K248" s="1">
        <f>_xlfn.XLOOKUP($C248,'Plaza SP Tar'!$C:$C,'Plaza SP Tar'!H:H)</f>
        <v>5071390.4298920305</v>
      </c>
      <c r="L248" s="1">
        <v>30000</v>
      </c>
      <c r="M248" s="1">
        <f>_xlfn.XLOOKUP($C248,'Plaza SP Tar'!$C:$C,'Plaza SP Tar'!I:I)</f>
        <v>5494006.2990497006</v>
      </c>
      <c r="N248" s="1">
        <v>40000</v>
      </c>
      <c r="O248" s="1">
        <f>_xlfn.XLOOKUP($C248,'Plaza SP Tar'!$C:$C,'Plaza SP Tar'!J:J)</f>
        <v>5916622.1682073688</v>
      </c>
      <c r="P248" s="1">
        <v>45000</v>
      </c>
      <c r="Q248" s="1">
        <f>_xlfn.XLOOKUP($C248,'Plaza SP Tar'!$C:$C,'Plaza SP Tar'!K:K)</f>
        <v>6339238.0373650389</v>
      </c>
      <c r="R248">
        <v>50000</v>
      </c>
    </row>
    <row r="249" spans="1:18" x14ac:dyDescent="0.25">
      <c r="A249" t="s">
        <v>229</v>
      </c>
      <c r="B249" t="s">
        <v>260</v>
      </c>
      <c r="C249" t="s">
        <v>271</v>
      </c>
      <c r="D249" s="1">
        <v>9461453</v>
      </c>
      <c r="E249" s="1">
        <f>_xlfn.XLOOKUP($C249,'Plaza SP Tar'!$C:$C,'Plaza SP Tar'!E:E)</f>
        <v>10327478.772202874</v>
      </c>
      <c r="F249" s="1">
        <v>10000</v>
      </c>
      <c r="G249" s="1">
        <f>_xlfn.XLOOKUP($C249,'Plaza SP Tar'!$C:$C,'Plaza SP Tar'!F:F)</f>
        <v>11802832.882517569</v>
      </c>
      <c r="H249" s="1">
        <v>18000</v>
      </c>
      <c r="I249" s="1">
        <f>_xlfn.XLOOKUP($C249,'Plaza SP Tar'!$C:$C,'Plaza SP Tar'!G:G)</f>
        <v>12983116.170769325</v>
      </c>
      <c r="J249" s="1">
        <v>25000</v>
      </c>
      <c r="K249" s="1">
        <f>_xlfn.XLOOKUP($C249,'Plaza SP Tar'!$C:$C,'Plaza SP Tar'!H:H)</f>
        <v>14163399.459021082</v>
      </c>
      <c r="L249" s="1">
        <v>30000</v>
      </c>
      <c r="M249" s="1">
        <f>_xlfn.XLOOKUP($C249,'Plaza SP Tar'!$C:$C,'Plaza SP Tar'!I:I)</f>
        <v>15343682.74727284</v>
      </c>
      <c r="N249" s="1">
        <v>40000</v>
      </c>
      <c r="O249" s="1">
        <f>_xlfn.XLOOKUP($C249,'Plaza SP Tar'!$C:$C,'Plaza SP Tar'!J:J)</f>
        <v>16523966.035524596</v>
      </c>
      <c r="P249" s="1">
        <v>45000</v>
      </c>
      <c r="Q249" s="1">
        <f>_xlfn.XLOOKUP($C249,'Plaza SP Tar'!$C:$C,'Plaza SP Tar'!K:K)</f>
        <v>17704249.323776353</v>
      </c>
      <c r="R249">
        <v>50000</v>
      </c>
    </row>
    <row r="250" spans="1:18" x14ac:dyDescent="0.25">
      <c r="A250" t="s">
        <v>229</v>
      </c>
      <c r="B250" t="s">
        <v>260</v>
      </c>
      <c r="C250" t="s">
        <v>272</v>
      </c>
      <c r="D250" s="1">
        <v>8424517</v>
      </c>
      <c r="E250" s="1">
        <f>_xlfn.XLOOKUP($C250,'Plaza SP Tar'!$C:$C,'Plaza SP Tar'!E:E)</f>
        <v>9195629.9400908332</v>
      </c>
      <c r="F250" s="1">
        <v>10000</v>
      </c>
      <c r="G250" s="1">
        <f>_xlfn.XLOOKUP($C250,'Plaza SP Tar'!$C:$C,'Plaza SP Tar'!F:F)</f>
        <v>10509291.360103808</v>
      </c>
      <c r="H250" s="1">
        <v>18000</v>
      </c>
      <c r="I250" s="1">
        <f>_xlfn.XLOOKUP($C250,'Plaza SP Tar'!$C:$C,'Plaza SP Tar'!G:G)</f>
        <v>11560220.496114189</v>
      </c>
      <c r="J250" s="1">
        <v>25000</v>
      </c>
      <c r="K250" s="1">
        <f>_xlfn.XLOOKUP($C250,'Plaza SP Tar'!$C:$C,'Plaza SP Tar'!H:H)</f>
        <v>12611149.632124569</v>
      </c>
      <c r="L250" s="1">
        <v>30000</v>
      </c>
      <c r="M250" s="1">
        <f>_xlfn.XLOOKUP($C250,'Plaza SP Tar'!$C:$C,'Plaza SP Tar'!I:I)</f>
        <v>13662078.768134952</v>
      </c>
      <c r="N250" s="1">
        <v>40000</v>
      </c>
      <c r="O250" s="1">
        <f>_xlfn.XLOOKUP($C250,'Plaza SP Tar'!$C:$C,'Plaza SP Tar'!J:J)</f>
        <v>14713007.904145332</v>
      </c>
      <c r="P250" s="1">
        <v>45000</v>
      </c>
      <c r="Q250" s="1">
        <f>_xlfn.XLOOKUP($C250,'Plaza SP Tar'!$C:$C,'Plaza SP Tar'!K:K)</f>
        <v>15763937.040155713</v>
      </c>
      <c r="R250">
        <v>50000</v>
      </c>
    </row>
    <row r="251" spans="1:18" x14ac:dyDescent="0.25">
      <c r="A251" t="s">
        <v>229</v>
      </c>
      <c r="B251" t="s">
        <v>260</v>
      </c>
      <c r="C251" t="s">
        <v>273</v>
      </c>
      <c r="D251" s="1">
        <v>5029551</v>
      </c>
      <c r="E251" s="1">
        <f>_xlfn.XLOOKUP($C251,'Plaza SP Tar'!$C:$C,'Plaza SP Tar'!E:E)</f>
        <v>5489915.8920106385</v>
      </c>
      <c r="F251" s="1">
        <v>10000</v>
      </c>
      <c r="G251" s="1">
        <f>_xlfn.XLOOKUP($C251,'Plaza SP Tar'!$C:$C,'Plaza SP Tar'!F:F)</f>
        <v>6274189.590869301</v>
      </c>
      <c r="H251" s="1">
        <v>18000</v>
      </c>
      <c r="I251" s="1">
        <f>_xlfn.XLOOKUP($C251,'Plaza SP Tar'!$C:$C,'Plaza SP Tar'!G:G)</f>
        <v>6901608.5499562304</v>
      </c>
      <c r="J251" s="1">
        <v>25000</v>
      </c>
      <c r="K251" s="1">
        <f>_xlfn.XLOOKUP($C251,'Plaza SP Tar'!$C:$C,'Plaza SP Tar'!H:H)</f>
        <v>7529027.5090431608</v>
      </c>
      <c r="L251" s="1">
        <v>30000</v>
      </c>
      <c r="M251" s="1">
        <f>_xlfn.XLOOKUP($C251,'Plaza SP Tar'!$C:$C,'Plaza SP Tar'!I:I)</f>
        <v>8156446.4681300912</v>
      </c>
      <c r="N251" s="1">
        <v>40000</v>
      </c>
      <c r="O251" s="1">
        <f>_xlfn.XLOOKUP($C251,'Plaza SP Tar'!$C:$C,'Plaza SP Tar'!J:J)</f>
        <v>8783865.4272170216</v>
      </c>
      <c r="P251" s="1">
        <v>45000</v>
      </c>
      <c r="Q251" s="1">
        <f>_xlfn.XLOOKUP($C251,'Plaza SP Tar'!$C:$C,'Plaza SP Tar'!K:K)</f>
        <v>9411284.386303952</v>
      </c>
      <c r="R251">
        <v>50000</v>
      </c>
    </row>
    <row r="252" spans="1:18" x14ac:dyDescent="0.25">
      <c r="A252" t="s">
        <v>229</v>
      </c>
      <c r="B252" t="s">
        <v>274</v>
      </c>
      <c r="C252" t="s">
        <v>275</v>
      </c>
      <c r="D252" s="1">
        <v>7113454</v>
      </c>
      <c r="E252" s="1">
        <f>_xlfn.XLOOKUP($C252,'Plaza SP Tar'!$C:$C,'Plaza SP Tar'!E:E)</f>
        <v>7764562.7137863096</v>
      </c>
      <c r="F252" s="1">
        <v>10000</v>
      </c>
      <c r="G252" s="1">
        <f>_xlfn.XLOOKUP($C252,'Plaza SP Tar'!$C:$C,'Plaza SP Tar'!F:F)</f>
        <v>8873785.9586129244</v>
      </c>
      <c r="H252" s="1">
        <v>18000</v>
      </c>
      <c r="I252" s="1">
        <f>_xlfn.XLOOKUP($C252,'Plaza SP Tar'!$C:$C,'Plaza SP Tar'!G:G)</f>
        <v>9761164.554474216</v>
      </c>
      <c r="J252" s="1">
        <v>25000</v>
      </c>
      <c r="K252" s="1">
        <f>_xlfn.XLOOKUP($C252,'Plaza SP Tar'!$C:$C,'Plaza SP Tar'!H:H)</f>
        <v>10648543.150335509</v>
      </c>
      <c r="L252" s="1">
        <v>30000</v>
      </c>
      <c r="M252" s="1">
        <f>_xlfn.XLOOKUP($C252,'Plaza SP Tar'!$C:$C,'Plaza SP Tar'!I:I)</f>
        <v>11535921.746196803</v>
      </c>
      <c r="N252" s="1">
        <v>40000</v>
      </c>
      <c r="O252" s="1">
        <f>_xlfn.XLOOKUP($C252,'Plaza SP Tar'!$C:$C,'Plaza SP Tar'!J:J)</f>
        <v>12423300.342058094</v>
      </c>
      <c r="P252" s="1">
        <v>45000</v>
      </c>
      <c r="Q252" s="1">
        <f>_xlfn.XLOOKUP($C252,'Plaza SP Tar'!$C:$C,'Plaza SP Tar'!K:K)</f>
        <v>13310678.937919386</v>
      </c>
      <c r="R252">
        <v>50000</v>
      </c>
    </row>
    <row r="253" spans="1:18" x14ac:dyDescent="0.25">
      <c r="A253" t="s">
        <v>229</v>
      </c>
      <c r="B253" t="s">
        <v>274</v>
      </c>
      <c r="C253" t="s">
        <v>276</v>
      </c>
      <c r="D253" s="1">
        <v>4951396</v>
      </c>
      <c r="E253" s="1">
        <f>_xlfn.XLOOKUP($C253,'Plaza SP Tar'!$C:$C,'Plaza SP Tar'!E:E)</f>
        <v>5404607.20808635</v>
      </c>
      <c r="F253" s="1">
        <v>10000</v>
      </c>
      <c r="G253" s="1">
        <f>_xlfn.XLOOKUP($C253,'Plaza SP Tar'!$C:$C,'Plaza SP Tar'!F:F)</f>
        <v>6176693.9520986853</v>
      </c>
      <c r="H253" s="1">
        <v>18000</v>
      </c>
      <c r="I253" s="1">
        <f>_xlfn.XLOOKUP($C253,'Plaza SP Tar'!$C:$C,'Plaza SP Tar'!G:G)</f>
        <v>6794363.3473085528</v>
      </c>
      <c r="J253" s="1">
        <v>25000</v>
      </c>
      <c r="K253" s="1">
        <f>_xlfn.XLOOKUP($C253,'Plaza SP Tar'!$C:$C,'Plaza SP Tar'!H:H)</f>
        <v>7412032.7425184222</v>
      </c>
      <c r="L253" s="1">
        <v>30000</v>
      </c>
      <c r="M253" s="1">
        <f>_xlfn.XLOOKUP($C253,'Plaza SP Tar'!$C:$C,'Plaza SP Tar'!I:I)</f>
        <v>8029702.1377282906</v>
      </c>
      <c r="N253" s="1">
        <v>40000</v>
      </c>
      <c r="O253" s="1">
        <f>_xlfn.XLOOKUP($C253,'Plaza SP Tar'!$C:$C,'Plaza SP Tar'!J:J)</f>
        <v>8647371.5329381581</v>
      </c>
      <c r="P253" s="1">
        <v>45000</v>
      </c>
      <c r="Q253" s="1">
        <f>_xlfn.XLOOKUP($C253,'Plaza SP Tar'!$C:$C,'Plaza SP Tar'!K:K)</f>
        <v>9265040.9281480275</v>
      </c>
      <c r="R253">
        <v>50000</v>
      </c>
    </row>
    <row r="254" spans="1:18" x14ac:dyDescent="0.25">
      <c r="A254" t="s">
        <v>229</v>
      </c>
      <c r="B254" t="s">
        <v>274</v>
      </c>
      <c r="C254" t="s">
        <v>277</v>
      </c>
      <c r="D254" s="1">
        <v>7023745</v>
      </c>
      <c r="E254" s="1">
        <f>_xlfn.XLOOKUP($C254,'Plaza SP Tar'!$C:$C,'Plaza SP Tar'!E:E)</f>
        <v>7666642.4690653821</v>
      </c>
      <c r="F254" s="1">
        <v>10000</v>
      </c>
      <c r="G254" s="1">
        <f>_xlfn.XLOOKUP($C254,'Plaza SP Tar'!$C:$C,'Plaza SP Tar'!F:F)</f>
        <v>8761877.1075032949</v>
      </c>
      <c r="H254" s="1">
        <v>18000</v>
      </c>
      <c r="I254" s="1">
        <f>_xlfn.XLOOKUP($C254,'Plaza SP Tar'!$C:$C,'Plaza SP Tar'!G:G)</f>
        <v>9638064.8182536215</v>
      </c>
      <c r="J254" s="1">
        <v>25000</v>
      </c>
      <c r="K254" s="1">
        <f>_xlfn.XLOOKUP($C254,'Plaza SP Tar'!$C:$C,'Plaza SP Tar'!H:H)</f>
        <v>10514252.529003952</v>
      </c>
      <c r="L254" s="1">
        <v>30000</v>
      </c>
      <c r="M254" s="1">
        <f>_xlfn.XLOOKUP($C254,'Plaza SP Tar'!$C:$C,'Plaza SP Tar'!I:I)</f>
        <v>11390440.239754282</v>
      </c>
      <c r="N254" s="1">
        <v>40000</v>
      </c>
      <c r="O254" s="1">
        <f>_xlfn.XLOOKUP($C254,'Plaza SP Tar'!$C:$C,'Plaza SP Tar'!J:J)</f>
        <v>12266627.95050461</v>
      </c>
      <c r="P254" s="1">
        <v>45000</v>
      </c>
      <c r="Q254" s="1">
        <f>_xlfn.XLOOKUP($C254,'Plaza SP Tar'!$C:$C,'Plaza SP Tar'!K:K)</f>
        <v>13142815.661254941</v>
      </c>
      <c r="R254">
        <v>50000</v>
      </c>
    </row>
    <row r="255" spans="1:18" x14ac:dyDescent="0.25">
      <c r="A255" t="s">
        <v>229</v>
      </c>
      <c r="B255" t="s">
        <v>274</v>
      </c>
      <c r="C255" t="s">
        <v>278</v>
      </c>
      <c r="D255" s="1">
        <v>5533400</v>
      </c>
      <c r="E255" s="1">
        <f>_xlfn.XLOOKUP($C255,'Plaza SP Tar'!$C:$C,'Plaza SP Tar'!E:E)</f>
        <v>6039883.2016718127</v>
      </c>
      <c r="F255" s="1">
        <v>10000</v>
      </c>
      <c r="G255" s="1">
        <f>_xlfn.XLOOKUP($C255,'Plaza SP Tar'!$C:$C,'Plaza SP Tar'!F:F)</f>
        <v>6902723.6590534998</v>
      </c>
      <c r="H255" s="1">
        <v>18000</v>
      </c>
      <c r="I255" s="1">
        <f>_xlfn.XLOOKUP($C255,'Plaza SP Tar'!$C:$C,'Plaza SP Tar'!G:G)</f>
        <v>7592996.024958849</v>
      </c>
      <c r="J255" s="1">
        <v>25000</v>
      </c>
      <c r="K255" s="1">
        <f>_xlfn.XLOOKUP($C255,'Plaza SP Tar'!$C:$C,'Plaza SP Tar'!H:H)</f>
        <v>8283268.3908642</v>
      </c>
      <c r="L255" s="1">
        <v>30000</v>
      </c>
      <c r="M255" s="1">
        <f>_xlfn.XLOOKUP($C255,'Plaza SP Tar'!$C:$C,'Plaza SP Tar'!I:I)</f>
        <v>8973540.756769551</v>
      </c>
      <c r="N255" s="1">
        <v>40000</v>
      </c>
      <c r="O255" s="1">
        <f>_xlfn.XLOOKUP($C255,'Plaza SP Tar'!$C:$C,'Plaza SP Tar'!J:J)</f>
        <v>9663813.1226748992</v>
      </c>
      <c r="P255" s="1">
        <v>45000</v>
      </c>
      <c r="Q255" s="1">
        <f>_xlfn.XLOOKUP($C255,'Plaza SP Tar'!$C:$C,'Plaza SP Tar'!K:K)</f>
        <v>10354085.488580249</v>
      </c>
      <c r="R255">
        <v>50000</v>
      </c>
    </row>
    <row r="256" spans="1:18" x14ac:dyDescent="0.25">
      <c r="A256" t="s">
        <v>229</v>
      </c>
      <c r="B256" t="s">
        <v>274</v>
      </c>
      <c r="C256" t="s">
        <v>279</v>
      </c>
      <c r="D256" s="1">
        <v>6812734</v>
      </c>
      <c r="E256" s="1">
        <f>_xlfn.XLOOKUP($C256,'Plaza SP Tar'!$C:$C,'Plaza SP Tar'!E:E)</f>
        <v>7436317.2089598468</v>
      </c>
      <c r="F256" s="1">
        <v>10000</v>
      </c>
      <c r="G256" s="1">
        <f>_xlfn.XLOOKUP($C256,'Plaza SP Tar'!$C:$C,'Plaza SP Tar'!F:F)</f>
        <v>8498648.2388112526</v>
      </c>
      <c r="H256" s="1">
        <v>18000</v>
      </c>
      <c r="I256" s="1">
        <f>_xlfn.XLOOKUP($C256,'Plaza SP Tar'!$C:$C,'Plaza SP Tar'!G:G)</f>
        <v>9348513.0626923777</v>
      </c>
      <c r="J256" s="1">
        <v>25000</v>
      </c>
      <c r="K256" s="1">
        <f>_xlfn.XLOOKUP($C256,'Plaza SP Tar'!$C:$C,'Plaza SP Tar'!H:H)</f>
        <v>10198377.886573503</v>
      </c>
      <c r="L256" s="1">
        <v>30000</v>
      </c>
      <c r="M256" s="1">
        <f>_xlfn.XLOOKUP($C256,'Plaza SP Tar'!$C:$C,'Plaza SP Tar'!I:I)</f>
        <v>11048242.71045463</v>
      </c>
      <c r="N256" s="1">
        <v>40000</v>
      </c>
      <c r="O256" s="1">
        <f>_xlfn.XLOOKUP($C256,'Plaza SP Tar'!$C:$C,'Plaza SP Tar'!J:J)</f>
        <v>11898107.534335753</v>
      </c>
      <c r="P256" s="1">
        <v>45000</v>
      </c>
      <c r="Q256" s="1">
        <f>_xlfn.XLOOKUP($C256,'Plaza SP Tar'!$C:$C,'Plaza SP Tar'!K:K)</f>
        <v>12747972.35821688</v>
      </c>
      <c r="R256">
        <v>50000</v>
      </c>
    </row>
    <row r="257" spans="1:18" x14ac:dyDescent="0.25">
      <c r="A257" t="s">
        <v>229</v>
      </c>
      <c r="B257" t="s">
        <v>274</v>
      </c>
      <c r="C257" t="s">
        <v>280</v>
      </c>
      <c r="D257" s="1">
        <v>6629445</v>
      </c>
      <c r="E257" s="1">
        <f>_xlfn.XLOOKUP($C257,'Plaza SP Tar'!$C:$C,'Plaza SP Tar'!E:E)</f>
        <v>7236251.3991229972</v>
      </c>
      <c r="F257" s="1">
        <v>10000</v>
      </c>
      <c r="G257" s="1">
        <f>_xlfn.XLOOKUP($C257,'Plaza SP Tar'!$C:$C,'Plaza SP Tar'!F:F)</f>
        <v>8270001.5989977103</v>
      </c>
      <c r="H257" s="1">
        <v>18000</v>
      </c>
      <c r="I257" s="1">
        <f>_xlfn.XLOOKUP($C257,'Plaza SP Tar'!$C:$C,'Plaza SP Tar'!G:G)</f>
        <v>9097001.7588974815</v>
      </c>
      <c r="J257" s="1">
        <v>25000</v>
      </c>
      <c r="K257" s="1">
        <f>_xlfn.XLOOKUP($C257,'Plaza SP Tar'!$C:$C,'Plaza SP Tar'!H:H)</f>
        <v>9924001.9187972527</v>
      </c>
      <c r="L257" s="1">
        <v>30000</v>
      </c>
      <c r="M257" s="1">
        <f>_xlfn.XLOOKUP($C257,'Plaza SP Tar'!$C:$C,'Plaza SP Tar'!I:I)</f>
        <v>10751002.078697024</v>
      </c>
      <c r="N257" s="1">
        <v>40000</v>
      </c>
      <c r="O257" s="1">
        <f>_xlfn.XLOOKUP($C257,'Plaza SP Tar'!$C:$C,'Plaza SP Tar'!J:J)</f>
        <v>11578002.238596793</v>
      </c>
      <c r="P257" s="1">
        <v>45000</v>
      </c>
      <c r="Q257" s="1">
        <f>_xlfn.XLOOKUP($C257,'Plaza SP Tar'!$C:$C,'Plaza SP Tar'!K:K)</f>
        <v>12405002.398496564</v>
      </c>
      <c r="R257">
        <v>50000</v>
      </c>
    </row>
    <row r="258" spans="1:18" x14ac:dyDescent="0.25">
      <c r="A258" t="s">
        <v>229</v>
      </c>
      <c r="B258" t="s">
        <v>274</v>
      </c>
      <c r="C258" t="s">
        <v>281</v>
      </c>
      <c r="D258" s="1">
        <v>4093272</v>
      </c>
      <c r="E258" s="1">
        <f>_xlfn.XLOOKUP($C258,'Plaza SP Tar'!$C:$C,'Plaza SP Tar'!E:E)</f>
        <v>4467937.3970205635</v>
      </c>
      <c r="F258" s="1">
        <v>10000</v>
      </c>
      <c r="G258" s="1">
        <f>_xlfn.XLOOKUP($C258,'Plaza SP Tar'!$C:$C,'Plaza SP Tar'!F:F)</f>
        <v>5106214.1680235006</v>
      </c>
      <c r="H258" s="1">
        <v>18000</v>
      </c>
      <c r="I258" s="1">
        <f>_xlfn.XLOOKUP($C258,'Plaza SP Tar'!$C:$C,'Plaza SP Tar'!G:G)</f>
        <v>5616835.5848258501</v>
      </c>
      <c r="J258" s="1">
        <v>25000</v>
      </c>
      <c r="K258" s="1">
        <f>_xlfn.XLOOKUP($C258,'Plaza SP Tar'!$C:$C,'Plaza SP Tar'!H:H)</f>
        <v>6127457.0016282005</v>
      </c>
      <c r="L258" s="1">
        <v>30000</v>
      </c>
      <c r="M258" s="1">
        <f>_xlfn.XLOOKUP($C258,'Plaza SP Tar'!$C:$C,'Plaza SP Tar'!I:I)</f>
        <v>6638078.418430551</v>
      </c>
      <c r="N258" s="1">
        <v>40000</v>
      </c>
      <c r="O258" s="1">
        <f>_xlfn.XLOOKUP($C258,'Plaza SP Tar'!$C:$C,'Plaza SP Tar'!J:J)</f>
        <v>7148699.8352329005</v>
      </c>
      <c r="P258" s="1">
        <v>45000</v>
      </c>
      <c r="Q258" s="1">
        <f>_xlfn.XLOOKUP($C258,'Plaza SP Tar'!$C:$C,'Plaza SP Tar'!K:K)</f>
        <v>7659321.2520352509</v>
      </c>
      <c r="R258">
        <v>50000</v>
      </c>
    </row>
    <row r="259" spans="1:18" x14ac:dyDescent="0.25">
      <c r="A259" t="s">
        <v>229</v>
      </c>
      <c r="B259" t="s">
        <v>274</v>
      </c>
      <c r="C259" t="s">
        <v>282</v>
      </c>
      <c r="D259" s="1">
        <v>5590374</v>
      </c>
      <c r="E259" s="1">
        <f>_xlfn.XLOOKUP($C259,'Plaza SP Tar'!$C:$C,'Plaza SP Tar'!E:E)</f>
        <v>6102072.1461782735</v>
      </c>
      <c r="F259" s="1">
        <v>10000</v>
      </c>
      <c r="G259" s="1">
        <f>_xlfn.XLOOKUP($C259,'Plaza SP Tar'!$C:$C,'Plaza SP Tar'!F:F)</f>
        <v>6973796.7384894555</v>
      </c>
      <c r="H259" s="1">
        <v>18000</v>
      </c>
      <c r="I259" s="1">
        <f>_xlfn.XLOOKUP($C259,'Plaza SP Tar'!$C:$C,'Plaza SP Tar'!G:G)</f>
        <v>7671176.4123384003</v>
      </c>
      <c r="J259" s="1">
        <v>25000</v>
      </c>
      <c r="K259" s="1">
        <f>_xlfn.XLOOKUP($C259,'Plaza SP Tar'!$C:$C,'Plaza SP Tar'!H:H)</f>
        <v>8368556.0861873459</v>
      </c>
      <c r="L259" s="1">
        <v>30000</v>
      </c>
      <c r="M259" s="1">
        <f>_xlfn.XLOOKUP($C259,'Plaza SP Tar'!$C:$C,'Plaza SP Tar'!I:I)</f>
        <v>9065935.7600362916</v>
      </c>
      <c r="N259" s="1">
        <v>40000</v>
      </c>
      <c r="O259" s="1">
        <f>_xlfn.XLOOKUP($C259,'Plaza SP Tar'!$C:$C,'Plaza SP Tar'!J:J)</f>
        <v>9763315.4338852372</v>
      </c>
      <c r="P259" s="1">
        <v>45000</v>
      </c>
      <c r="Q259" s="1">
        <f>_xlfn.XLOOKUP($C259,'Plaza SP Tar'!$C:$C,'Plaza SP Tar'!K:K)</f>
        <v>10460695.107734183</v>
      </c>
      <c r="R259">
        <v>50000</v>
      </c>
    </row>
    <row r="260" spans="1:18" x14ac:dyDescent="0.25">
      <c r="A260" t="s">
        <v>229</v>
      </c>
      <c r="B260" t="s">
        <v>274</v>
      </c>
      <c r="C260" t="s">
        <v>283</v>
      </c>
      <c r="D260" s="1">
        <v>3788172</v>
      </c>
      <c r="E260" s="1">
        <f>_xlfn.XLOOKUP($C260,'Plaza SP Tar'!$C:$C,'Plaza SP Tar'!E:E)</f>
        <v>4134910.9820080809</v>
      </c>
      <c r="F260" s="1">
        <v>10000</v>
      </c>
      <c r="G260" s="1">
        <f>_xlfn.XLOOKUP($C260,'Plaza SP Tar'!$C:$C,'Plaza SP Tar'!F:F)</f>
        <v>4725612.5508663785</v>
      </c>
      <c r="H260" s="1">
        <v>18000</v>
      </c>
      <c r="I260" s="1">
        <f>_xlfn.XLOOKUP($C260,'Plaza SP Tar'!$C:$C,'Plaza SP Tar'!G:G)</f>
        <v>5198173.8059530156</v>
      </c>
      <c r="J260" s="1">
        <v>25000</v>
      </c>
      <c r="K260" s="1">
        <f>_xlfn.XLOOKUP($C260,'Plaza SP Tar'!$C:$C,'Plaza SP Tar'!H:H)</f>
        <v>5670735.0610396536</v>
      </c>
      <c r="L260" s="1">
        <v>30000</v>
      </c>
      <c r="M260" s="1">
        <f>_xlfn.XLOOKUP($C260,'Plaza SP Tar'!$C:$C,'Plaza SP Tar'!I:I)</f>
        <v>6143296.3161262916</v>
      </c>
      <c r="N260" s="1">
        <v>40000</v>
      </c>
      <c r="O260" s="1">
        <f>_xlfn.XLOOKUP($C260,'Plaza SP Tar'!$C:$C,'Plaza SP Tar'!J:J)</f>
        <v>6615857.5712129287</v>
      </c>
      <c r="P260" s="1">
        <v>45000</v>
      </c>
      <c r="Q260" s="1">
        <f>_xlfn.XLOOKUP($C260,'Plaza SP Tar'!$C:$C,'Plaza SP Tar'!K:K)</f>
        <v>7088418.8262995668</v>
      </c>
      <c r="R260">
        <v>50000</v>
      </c>
    </row>
    <row r="261" spans="1:18" x14ac:dyDescent="0.25">
      <c r="A261" t="s">
        <v>229</v>
      </c>
      <c r="B261" t="s">
        <v>274</v>
      </c>
      <c r="C261" t="s">
        <v>284</v>
      </c>
      <c r="D261" s="1">
        <v>7577783</v>
      </c>
      <c r="E261" s="1">
        <f>_xlfn.XLOOKUP($C261,'Plaza SP Tar'!$C:$C,'Plaza SP Tar'!E:E)</f>
        <v>8271392.6785727106</v>
      </c>
      <c r="F261" s="1">
        <v>10000</v>
      </c>
      <c r="G261" s="1">
        <f>_xlfn.XLOOKUP($C261,'Plaza SP Tar'!$C:$C,'Plaza SP Tar'!F:F)</f>
        <v>9453020.2040830981</v>
      </c>
      <c r="H261" s="1">
        <v>18000</v>
      </c>
      <c r="I261" s="1">
        <f>_xlfn.XLOOKUP($C261,'Plaza SP Tar'!$C:$C,'Plaza SP Tar'!G:G)</f>
        <v>10398322.224491406</v>
      </c>
      <c r="J261" s="1">
        <v>25000</v>
      </c>
      <c r="K261" s="1">
        <f>_xlfn.XLOOKUP($C261,'Plaza SP Tar'!$C:$C,'Plaza SP Tar'!H:H)</f>
        <v>11343624.244899716</v>
      </c>
      <c r="L261" s="1">
        <v>30000</v>
      </c>
      <c r="M261" s="1">
        <f>_xlfn.XLOOKUP($C261,'Plaza SP Tar'!$C:$C,'Plaza SP Tar'!I:I)</f>
        <v>12288926.265308026</v>
      </c>
      <c r="N261" s="1">
        <v>40000</v>
      </c>
      <c r="O261" s="1">
        <f>_xlfn.XLOOKUP($C261,'Plaza SP Tar'!$C:$C,'Plaza SP Tar'!J:J)</f>
        <v>13234228.285716334</v>
      </c>
      <c r="P261" s="1">
        <v>45000</v>
      </c>
      <c r="Q261" s="1">
        <f>_xlfn.XLOOKUP($C261,'Plaza SP Tar'!$C:$C,'Plaza SP Tar'!K:K)</f>
        <v>14179530.306124644</v>
      </c>
      <c r="R261">
        <v>50000</v>
      </c>
    </row>
    <row r="262" spans="1:18" x14ac:dyDescent="0.25">
      <c r="A262" t="s">
        <v>229</v>
      </c>
      <c r="B262" t="s">
        <v>274</v>
      </c>
      <c r="C262" t="s">
        <v>285</v>
      </c>
      <c r="D262" s="1">
        <v>9195906</v>
      </c>
      <c r="E262" s="1">
        <f>_xlfn.XLOOKUP($C262,'Plaza SP Tar'!$C:$C,'Plaza SP Tar'!E:E)</f>
        <v>10037625.722621361</v>
      </c>
      <c r="F262" s="1">
        <v>10000</v>
      </c>
      <c r="G262" s="1">
        <f>_xlfn.XLOOKUP($C262,'Plaza SP Tar'!$C:$C,'Plaza SP Tar'!F:F)</f>
        <v>11471572.254424412</v>
      </c>
      <c r="H262" s="1">
        <v>18000</v>
      </c>
      <c r="I262" s="1">
        <f>_xlfn.XLOOKUP($C262,'Plaza SP Tar'!$C:$C,'Plaza SP Tar'!G:G)</f>
        <v>12618729.479866851</v>
      </c>
      <c r="J262" s="1">
        <v>25000</v>
      </c>
      <c r="K262" s="1">
        <f>_xlfn.XLOOKUP($C262,'Plaza SP Tar'!$C:$C,'Plaza SP Tar'!H:H)</f>
        <v>13765886.705309292</v>
      </c>
      <c r="L262" s="1">
        <v>30000</v>
      </c>
      <c r="M262" s="1">
        <f>_xlfn.XLOOKUP($C262,'Plaza SP Tar'!$C:$C,'Plaza SP Tar'!I:I)</f>
        <v>14913043.930751735</v>
      </c>
      <c r="N262" s="1">
        <v>40000</v>
      </c>
      <c r="O262" s="1">
        <f>_xlfn.XLOOKUP($C262,'Plaza SP Tar'!$C:$C,'Plaza SP Tar'!J:J)</f>
        <v>16060201.156194175</v>
      </c>
      <c r="P262" s="1">
        <v>45000</v>
      </c>
      <c r="Q262" s="1">
        <f>_xlfn.XLOOKUP($C262,'Plaza SP Tar'!$C:$C,'Plaza SP Tar'!K:K)</f>
        <v>17207358.381636616</v>
      </c>
      <c r="R262">
        <v>50000</v>
      </c>
    </row>
    <row r="263" spans="1:18" x14ac:dyDescent="0.25">
      <c r="A263" t="s">
        <v>229</v>
      </c>
      <c r="B263" t="s">
        <v>274</v>
      </c>
      <c r="C263" t="s">
        <v>286</v>
      </c>
      <c r="D263" s="1">
        <v>4264751</v>
      </c>
      <c r="E263" s="1">
        <f>_xlfn.XLOOKUP($C263,'Plaza SP Tar'!$C:$C,'Plaza SP Tar'!E:E)</f>
        <v>4655112.2138672546</v>
      </c>
      <c r="F263" s="1">
        <v>10000</v>
      </c>
      <c r="G263" s="1">
        <f>_xlfn.XLOOKUP($C263,'Plaza SP Tar'!$C:$C,'Plaza SP Tar'!F:F)</f>
        <v>5320128.2444197191</v>
      </c>
      <c r="H263" s="1">
        <v>18000</v>
      </c>
      <c r="I263" s="1">
        <f>_xlfn.XLOOKUP($C263,'Plaza SP Tar'!$C:$C,'Plaza SP Tar'!G:G)</f>
        <v>5852141.0688616903</v>
      </c>
      <c r="J263" s="1">
        <v>25000</v>
      </c>
      <c r="K263" s="1">
        <f>_xlfn.XLOOKUP($C263,'Plaza SP Tar'!$C:$C,'Plaza SP Tar'!H:H)</f>
        <v>6384153.8933036625</v>
      </c>
      <c r="L263" s="1">
        <v>30000</v>
      </c>
      <c r="M263" s="1">
        <f>_xlfn.XLOOKUP($C263,'Plaza SP Tar'!$C:$C,'Plaza SP Tar'!I:I)</f>
        <v>6916166.7177456347</v>
      </c>
      <c r="N263" s="1">
        <v>40000</v>
      </c>
      <c r="O263" s="1">
        <f>_xlfn.XLOOKUP($C263,'Plaza SP Tar'!$C:$C,'Plaza SP Tar'!J:J)</f>
        <v>7448179.542187606</v>
      </c>
      <c r="P263" s="1">
        <v>45000</v>
      </c>
      <c r="Q263" s="1">
        <f>_xlfn.XLOOKUP($C263,'Plaza SP Tar'!$C:$C,'Plaza SP Tar'!K:K)</f>
        <v>7980192.3666295782</v>
      </c>
      <c r="R263">
        <v>50000</v>
      </c>
    </row>
    <row r="264" spans="1:18" x14ac:dyDescent="0.25">
      <c r="A264" t="s">
        <v>229</v>
      </c>
      <c r="B264" t="s">
        <v>274</v>
      </c>
      <c r="C264" t="s">
        <v>287</v>
      </c>
      <c r="D264" s="1">
        <v>6190067</v>
      </c>
      <c r="E264" s="1">
        <f>_xlfn.XLOOKUP($C264,'Plaza SP Tar'!$C:$C,'Plaza SP Tar'!E:E)</f>
        <v>6756656.2494168207</v>
      </c>
      <c r="F264" s="1">
        <v>10000</v>
      </c>
      <c r="G264" s="1">
        <f>_xlfn.XLOOKUP($C264,'Plaza SP Tar'!$C:$C,'Plaza SP Tar'!F:F)</f>
        <v>7721892.8564763656</v>
      </c>
      <c r="H264" s="1">
        <v>18000</v>
      </c>
      <c r="I264" s="1">
        <f>_xlfn.XLOOKUP($C264,'Plaza SP Tar'!$C:$C,'Plaza SP Tar'!G:G)</f>
        <v>8494082.1421240009</v>
      </c>
      <c r="J264" s="1">
        <v>25000</v>
      </c>
      <c r="K264" s="1">
        <f>_xlfn.XLOOKUP($C264,'Plaza SP Tar'!$C:$C,'Plaza SP Tar'!H:H)</f>
        <v>9266271.4277716391</v>
      </c>
      <c r="L264" s="1">
        <v>30000</v>
      </c>
      <c r="M264" s="1">
        <f>_xlfn.XLOOKUP($C264,'Plaza SP Tar'!$C:$C,'Plaza SP Tar'!I:I)</f>
        <v>10038460.713419275</v>
      </c>
      <c r="N264" s="1">
        <v>40000</v>
      </c>
      <c r="O264" s="1">
        <f>_xlfn.XLOOKUP($C264,'Plaza SP Tar'!$C:$C,'Plaza SP Tar'!J:J)</f>
        <v>10810649.999066912</v>
      </c>
      <c r="P264" s="1">
        <v>45000</v>
      </c>
      <c r="Q264" s="1">
        <f>_xlfn.XLOOKUP($C264,'Plaza SP Tar'!$C:$C,'Plaza SP Tar'!K:K)</f>
        <v>11582839.284714548</v>
      </c>
      <c r="R264">
        <v>50000</v>
      </c>
    </row>
    <row r="265" spans="1:18" x14ac:dyDescent="0.25">
      <c r="A265" t="s">
        <v>229</v>
      </c>
      <c r="B265" t="s">
        <v>274</v>
      </c>
      <c r="C265" t="s">
        <v>288</v>
      </c>
      <c r="D265" s="1">
        <v>8644285</v>
      </c>
      <c r="E265" s="1">
        <f>_xlfn.XLOOKUP($C265,'Plaza SP Tar'!$C:$C,'Plaza SP Tar'!E:E)</f>
        <v>9435513.7459723912</v>
      </c>
      <c r="F265" s="1">
        <v>10000</v>
      </c>
      <c r="G265" s="1">
        <f>_xlfn.XLOOKUP($C265,'Plaza SP Tar'!$C:$C,'Plaza SP Tar'!F:F)</f>
        <v>10783444.281111304</v>
      </c>
      <c r="H265" s="1">
        <v>18000</v>
      </c>
      <c r="I265" s="1">
        <f>_xlfn.XLOOKUP($C265,'Plaza SP Tar'!$C:$C,'Plaza SP Tar'!G:G)</f>
        <v>11861788.709222432</v>
      </c>
      <c r="J265" s="1">
        <v>25000</v>
      </c>
      <c r="K265" s="1">
        <f>_xlfn.XLOOKUP($C265,'Plaza SP Tar'!$C:$C,'Plaza SP Tar'!H:H)</f>
        <v>12940133.137333563</v>
      </c>
      <c r="L265" s="1">
        <v>30000</v>
      </c>
      <c r="M265" s="1">
        <f>_xlfn.XLOOKUP($C265,'Plaza SP Tar'!$C:$C,'Plaza SP Tar'!I:I)</f>
        <v>14018477.565444695</v>
      </c>
      <c r="N265" s="1">
        <v>40000</v>
      </c>
      <c r="O265" s="1">
        <f>_xlfn.XLOOKUP($C265,'Plaza SP Tar'!$C:$C,'Plaza SP Tar'!J:J)</f>
        <v>15096821.993555823</v>
      </c>
      <c r="P265" s="1">
        <v>45000</v>
      </c>
      <c r="Q265" s="1">
        <f>_xlfn.XLOOKUP($C265,'Plaza SP Tar'!$C:$C,'Plaza SP Tar'!K:K)</f>
        <v>16175166.421666954</v>
      </c>
      <c r="R265">
        <v>50000</v>
      </c>
    </row>
    <row r="266" spans="1:18" x14ac:dyDescent="0.25">
      <c r="A266" t="s">
        <v>229</v>
      </c>
      <c r="B266" t="s">
        <v>289</v>
      </c>
      <c r="C266" t="s">
        <v>290</v>
      </c>
      <c r="D266" s="1">
        <v>3598845</v>
      </c>
      <c r="E266" s="1">
        <f>_xlfn.XLOOKUP($C266,'Plaza SP Tar'!$C:$C,'Plaza SP Tar'!E:E)</f>
        <v>3928254.5019193618</v>
      </c>
      <c r="F266" s="1">
        <v>10000</v>
      </c>
      <c r="G266" s="1">
        <f>_xlfn.XLOOKUP($C266,'Plaza SP Tar'!$C:$C,'Plaza SP Tar'!F:F)</f>
        <v>4489433.7164792707</v>
      </c>
      <c r="H266" s="1">
        <v>18000</v>
      </c>
      <c r="I266" s="1">
        <f>_xlfn.XLOOKUP($C266,'Plaza SP Tar'!$C:$C,'Plaza SP Tar'!G:G)</f>
        <v>4938377.0881271968</v>
      </c>
      <c r="J266" s="1">
        <v>25000</v>
      </c>
      <c r="K266" s="1">
        <f>_xlfn.XLOOKUP($C266,'Plaza SP Tar'!$C:$C,'Plaza SP Tar'!H:H)</f>
        <v>5387320.4597751237</v>
      </c>
      <c r="L266" s="1">
        <v>30000</v>
      </c>
      <c r="M266" s="1">
        <f>_xlfn.XLOOKUP($C266,'Plaza SP Tar'!$C:$C,'Plaza SP Tar'!I:I)</f>
        <v>5836263.8314230517</v>
      </c>
      <c r="N266" s="1">
        <v>40000</v>
      </c>
      <c r="O266" s="1">
        <f>_xlfn.XLOOKUP($C266,'Plaza SP Tar'!$C:$C,'Plaza SP Tar'!J:J)</f>
        <v>6285207.2030709777</v>
      </c>
      <c r="P266" s="1">
        <v>45000</v>
      </c>
      <c r="Q266" s="1">
        <f>_xlfn.XLOOKUP($C266,'Plaza SP Tar'!$C:$C,'Plaza SP Tar'!K:K)</f>
        <v>6734150.5747189047</v>
      </c>
      <c r="R266">
        <v>50000</v>
      </c>
    </row>
    <row r="267" spans="1:18" x14ac:dyDescent="0.25">
      <c r="A267" t="s">
        <v>229</v>
      </c>
      <c r="B267" t="s">
        <v>289</v>
      </c>
      <c r="C267" t="s">
        <v>291</v>
      </c>
      <c r="D267" s="1">
        <v>6200883</v>
      </c>
      <c r="E267" s="1">
        <f>_xlfn.XLOOKUP($C267,'Plaza SP Tar'!$C:$C,'Plaza SP Tar'!E:E)</f>
        <v>6768462.2595930742</v>
      </c>
      <c r="F267" s="1">
        <v>10000</v>
      </c>
      <c r="G267" s="1">
        <f>_xlfn.XLOOKUP($C267,'Plaza SP Tar'!$C:$C,'Plaza SP Tar'!F:F)</f>
        <v>7735385.4395349417</v>
      </c>
      <c r="H267" s="1">
        <v>18000</v>
      </c>
      <c r="I267" s="1">
        <f>_xlfn.XLOOKUP($C267,'Plaza SP Tar'!$C:$C,'Plaza SP Tar'!G:G)</f>
        <v>8508923.9834884349</v>
      </c>
      <c r="J267" s="1">
        <v>25000</v>
      </c>
      <c r="K267" s="1">
        <f>_xlfn.XLOOKUP($C267,'Plaza SP Tar'!$C:$C,'Plaza SP Tar'!H:H)</f>
        <v>9282462.52744193</v>
      </c>
      <c r="L267" s="1">
        <v>30000</v>
      </c>
      <c r="M267" s="1">
        <f>_xlfn.XLOOKUP($C267,'Plaza SP Tar'!$C:$C,'Plaza SP Tar'!I:I)</f>
        <v>10056001.071395423</v>
      </c>
      <c r="N267" s="1">
        <v>40000</v>
      </c>
      <c r="O267" s="1">
        <f>_xlfn.XLOOKUP($C267,'Plaza SP Tar'!$C:$C,'Plaza SP Tar'!J:J)</f>
        <v>10829539.615348917</v>
      </c>
      <c r="P267" s="1">
        <v>45000</v>
      </c>
      <c r="Q267" s="1">
        <f>_xlfn.XLOOKUP($C267,'Plaza SP Tar'!$C:$C,'Plaza SP Tar'!K:K)</f>
        <v>11603078.159302412</v>
      </c>
      <c r="R267">
        <v>50000</v>
      </c>
    </row>
    <row r="268" spans="1:18" x14ac:dyDescent="0.25">
      <c r="A268" t="s">
        <v>229</v>
      </c>
      <c r="B268" t="s">
        <v>289</v>
      </c>
      <c r="C268" t="s">
        <v>292</v>
      </c>
      <c r="D268" s="1">
        <v>4630800</v>
      </c>
      <c r="E268" s="1">
        <f>_xlfn.XLOOKUP($C268,'Plaza SP Tar'!$C:$C,'Plaza SP Tar'!E:E)</f>
        <v>5054666.413109812</v>
      </c>
      <c r="F268" s="1">
        <v>10000</v>
      </c>
      <c r="G268" s="1">
        <f>_xlfn.XLOOKUP($C268,'Plaza SP Tar'!$C:$C,'Plaza SP Tar'!F:F)</f>
        <v>5776761.6149826413</v>
      </c>
      <c r="H268" s="1">
        <v>18000</v>
      </c>
      <c r="I268" s="1">
        <f>_xlfn.XLOOKUP($C268,'Plaza SP Tar'!$C:$C,'Plaza SP Tar'!G:G)</f>
        <v>6354437.7764809048</v>
      </c>
      <c r="J268" s="1">
        <v>25000</v>
      </c>
      <c r="K268" s="1">
        <f>_xlfn.XLOOKUP($C268,'Plaza SP Tar'!$C:$C,'Plaza SP Tar'!H:H)</f>
        <v>6932113.9379791692</v>
      </c>
      <c r="L268" s="1">
        <v>30000</v>
      </c>
      <c r="M268" s="1">
        <f>_xlfn.XLOOKUP($C268,'Plaza SP Tar'!$C:$C,'Plaza SP Tar'!I:I)</f>
        <v>7509790.0994774336</v>
      </c>
      <c r="N268" s="1">
        <v>40000</v>
      </c>
      <c r="O268" s="1">
        <f>_xlfn.XLOOKUP($C268,'Plaza SP Tar'!$C:$C,'Plaza SP Tar'!J:J)</f>
        <v>8087466.2609756971</v>
      </c>
      <c r="P268" s="1">
        <v>45000</v>
      </c>
      <c r="Q268" s="1">
        <f>_xlfn.XLOOKUP($C268,'Plaza SP Tar'!$C:$C,'Plaza SP Tar'!K:K)</f>
        <v>8665142.4224739615</v>
      </c>
      <c r="R268">
        <v>50000</v>
      </c>
    </row>
    <row r="269" spans="1:18" x14ac:dyDescent="0.25">
      <c r="A269" t="s">
        <v>229</v>
      </c>
      <c r="B269" t="s">
        <v>289</v>
      </c>
      <c r="C269" t="s">
        <v>293</v>
      </c>
      <c r="D269" s="1">
        <v>6471551</v>
      </c>
      <c r="E269" s="1">
        <f>_xlfn.XLOOKUP($C269,'Plaza SP Tar'!$C:$C,'Plaza SP Tar'!E:E)</f>
        <v>7063905.044577009</v>
      </c>
      <c r="F269" s="1">
        <v>10000</v>
      </c>
      <c r="G269" s="1">
        <f>_xlfn.XLOOKUP($C269,'Plaza SP Tar'!$C:$C,'Plaza SP Tar'!F:F)</f>
        <v>8073034.3366594389</v>
      </c>
      <c r="H269" s="1">
        <v>18000</v>
      </c>
      <c r="I269" s="1">
        <f>_xlfn.XLOOKUP($C269,'Plaza SP Tar'!$C:$C,'Plaza SP Tar'!G:G)</f>
        <v>8880337.7703253813</v>
      </c>
      <c r="J269" s="1">
        <v>25000</v>
      </c>
      <c r="K269" s="1">
        <f>_xlfn.XLOOKUP($C269,'Plaza SP Tar'!$C:$C,'Plaza SP Tar'!H:H)</f>
        <v>9687641.2039913256</v>
      </c>
      <c r="L269" s="1">
        <v>30000</v>
      </c>
      <c r="M269" s="1">
        <f>_xlfn.XLOOKUP($C269,'Plaza SP Tar'!$C:$C,'Plaza SP Tar'!I:I)</f>
        <v>10494944.63765727</v>
      </c>
      <c r="N269" s="1">
        <v>40000</v>
      </c>
      <c r="O269" s="1">
        <f>_xlfn.XLOOKUP($C269,'Plaza SP Tar'!$C:$C,'Plaza SP Tar'!J:J)</f>
        <v>11302248.071323212</v>
      </c>
      <c r="P269" s="1">
        <v>45000</v>
      </c>
      <c r="Q269" s="1">
        <f>_xlfn.XLOOKUP($C269,'Plaza SP Tar'!$C:$C,'Plaza SP Tar'!K:K)</f>
        <v>12109551.504989158</v>
      </c>
      <c r="R269">
        <v>50000</v>
      </c>
    </row>
    <row r="270" spans="1:18" x14ac:dyDescent="0.25">
      <c r="A270" t="s">
        <v>229</v>
      </c>
      <c r="B270" t="s">
        <v>289</v>
      </c>
      <c r="C270" t="s">
        <v>294</v>
      </c>
      <c r="D270" s="1">
        <v>6738443</v>
      </c>
      <c r="E270" s="1">
        <f>_xlfn.XLOOKUP($C270,'Plaza SP Tar'!$C:$C,'Plaza SP Tar'!E:E)</f>
        <v>7355226.2047065124</v>
      </c>
      <c r="F270" s="1">
        <v>10000</v>
      </c>
      <c r="G270" s="1">
        <f>_xlfn.XLOOKUP($C270,'Plaza SP Tar'!$C:$C,'Plaza SP Tar'!F:F)</f>
        <v>8405972.805378871</v>
      </c>
      <c r="H270" s="1">
        <v>18000</v>
      </c>
      <c r="I270" s="1">
        <f>_xlfn.XLOOKUP($C270,'Plaza SP Tar'!$C:$C,'Plaza SP Tar'!G:G)</f>
        <v>9246570.0859167576</v>
      </c>
      <c r="J270" s="1">
        <v>25000</v>
      </c>
      <c r="K270" s="1">
        <f>_xlfn.XLOOKUP($C270,'Plaza SP Tar'!$C:$C,'Plaza SP Tar'!H:H)</f>
        <v>10087167.366454644</v>
      </c>
      <c r="L270" s="1">
        <v>30000</v>
      </c>
      <c r="M270" s="1">
        <f>_xlfn.XLOOKUP($C270,'Plaza SP Tar'!$C:$C,'Plaza SP Tar'!I:I)</f>
        <v>10927764.646992533</v>
      </c>
      <c r="N270" s="1">
        <v>40000</v>
      </c>
      <c r="O270" s="1">
        <f>_xlfn.XLOOKUP($C270,'Plaza SP Tar'!$C:$C,'Plaza SP Tar'!J:J)</f>
        <v>11768361.927530419</v>
      </c>
      <c r="P270" s="1">
        <v>45000</v>
      </c>
      <c r="Q270" s="1">
        <f>_xlfn.XLOOKUP($C270,'Plaza SP Tar'!$C:$C,'Plaza SP Tar'!K:K)</f>
        <v>12608959.208068306</v>
      </c>
      <c r="R270">
        <v>50000</v>
      </c>
    </row>
    <row r="271" spans="1:18" x14ac:dyDescent="0.25">
      <c r="A271" t="s">
        <v>229</v>
      </c>
      <c r="B271" t="s">
        <v>289</v>
      </c>
      <c r="C271" t="s">
        <v>295</v>
      </c>
      <c r="D271" s="1">
        <v>6838931</v>
      </c>
      <c r="E271" s="1">
        <f>_xlfn.XLOOKUP($C271,'Plaza SP Tar'!$C:$C,'Plaza SP Tar'!E:E)</f>
        <v>7464912.0729194731</v>
      </c>
      <c r="F271" s="1">
        <v>10000</v>
      </c>
      <c r="G271" s="1">
        <f>_xlfn.XLOOKUP($C271,'Plaza SP Tar'!$C:$C,'Plaza SP Tar'!F:F)</f>
        <v>8531328.0833365414</v>
      </c>
      <c r="H271" s="1">
        <v>18000</v>
      </c>
      <c r="I271" s="1">
        <f>_xlfn.XLOOKUP($C271,'Plaza SP Tar'!$C:$C,'Plaza SP Tar'!G:G)</f>
        <v>9384460.8916701935</v>
      </c>
      <c r="J271" s="1">
        <v>25000</v>
      </c>
      <c r="K271" s="1">
        <f>_xlfn.XLOOKUP($C271,'Plaza SP Tar'!$C:$C,'Plaza SP Tar'!H:H)</f>
        <v>10237593.700003847</v>
      </c>
      <c r="L271" s="1">
        <v>30000</v>
      </c>
      <c r="M271" s="1">
        <f>_xlfn.XLOOKUP($C271,'Plaza SP Tar'!$C:$C,'Plaza SP Tar'!I:I)</f>
        <v>11090726.508337503</v>
      </c>
      <c r="N271" s="1">
        <v>40000</v>
      </c>
      <c r="O271" s="1">
        <f>_xlfn.XLOOKUP($C271,'Plaza SP Tar'!$C:$C,'Plaza SP Tar'!J:J)</f>
        <v>11943859.316671155</v>
      </c>
      <c r="P271" s="1">
        <v>45000</v>
      </c>
      <c r="Q271" s="1">
        <f>_xlfn.XLOOKUP($C271,'Plaza SP Tar'!$C:$C,'Plaza SP Tar'!K:K)</f>
        <v>12796992.125004809</v>
      </c>
      <c r="R271">
        <v>50000</v>
      </c>
    </row>
    <row r="272" spans="1:18" x14ac:dyDescent="0.25">
      <c r="A272" t="s">
        <v>229</v>
      </c>
      <c r="B272" t="s">
        <v>289</v>
      </c>
      <c r="C272" t="s">
        <v>296</v>
      </c>
      <c r="D272" s="1">
        <v>2817585</v>
      </c>
      <c r="E272" s="1">
        <f>_xlfn.XLOOKUP($C272,'Plaza SP Tar'!$C:$C,'Plaza SP Tar'!E:E)</f>
        <v>3075484.2069581947</v>
      </c>
      <c r="F272" s="1">
        <v>10000</v>
      </c>
      <c r="G272" s="1">
        <f>_xlfn.XLOOKUP($C272,'Plaza SP Tar'!$C:$C,'Plaza SP Tar'!F:F)</f>
        <v>3514839.0936665083</v>
      </c>
      <c r="H272" s="1">
        <v>18000</v>
      </c>
      <c r="I272" s="1">
        <f>_xlfn.XLOOKUP($C272,'Plaza SP Tar'!$C:$C,'Plaza SP Tar'!G:G)</f>
        <v>3866323.0030331584</v>
      </c>
      <c r="J272" s="1">
        <v>25000</v>
      </c>
      <c r="K272" s="1">
        <f>_xlfn.XLOOKUP($C272,'Plaza SP Tar'!$C:$C,'Plaza SP Tar'!H:H)</f>
        <v>4217806.9123998098</v>
      </c>
      <c r="L272" s="1">
        <v>30000</v>
      </c>
      <c r="M272" s="1">
        <f>_xlfn.XLOOKUP($C272,'Plaza SP Tar'!$C:$C,'Plaza SP Tar'!I:I)</f>
        <v>4569290.8217664603</v>
      </c>
      <c r="N272" s="1">
        <v>40000</v>
      </c>
      <c r="O272" s="1">
        <f>_xlfn.XLOOKUP($C272,'Plaza SP Tar'!$C:$C,'Plaza SP Tar'!J:J)</f>
        <v>4920774.7311331108</v>
      </c>
      <c r="P272" s="1">
        <v>45000</v>
      </c>
      <c r="Q272" s="1">
        <f>_xlfn.XLOOKUP($C272,'Plaza SP Tar'!$C:$C,'Plaza SP Tar'!K:K)</f>
        <v>5272258.6404997623</v>
      </c>
      <c r="R272">
        <v>50000</v>
      </c>
    </row>
    <row r="273" spans="1:18" x14ac:dyDescent="0.25">
      <c r="A273" t="s">
        <v>229</v>
      </c>
      <c r="B273" t="s">
        <v>289</v>
      </c>
      <c r="C273" t="s">
        <v>297</v>
      </c>
      <c r="D273" s="1">
        <v>3591772</v>
      </c>
      <c r="E273" s="1">
        <f>_xlfn.XLOOKUP($C273,'Plaza SP Tar'!$C:$C,'Plaza SP Tar'!E:E)</f>
        <v>3920534.0960413436</v>
      </c>
      <c r="F273" s="1">
        <v>10000</v>
      </c>
      <c r="G273" s="1">
        <f>_xlfn.XLOOKUP($C273,'Plaza SP Tar'!$C:$C,'Plaza SP Tar'!F:F)</f>
        <v>4480610.3954758216</v>
      </c>
      <c r="H273" s="1">
        <v>18000</v>
      </c>
      <c r="I273" s="1">
        <f>_xlfn.XLOOKUP($C273,'Plaza SP Tar'!$C:$C,'Plaza SP Tar'!G:G)</f>
        <v>4928671.4350234028</v>
      </c>
      <c r="J273" s="1">
        <v>25000</v>
      </c>
      <c r="K273" s="1">
        <f>_xlfn.XLOOKUP($C273,'Plaza SP Tar'!$C:$C,'Plaza SP Tar'!H:H)</f>
        <v>5376732.474570985</v>
      </c>
      <c r="L273" s="1">
        <v>30000</v>
      </c>
      <c r="M273" s="1">
        <f>_xlfn.XLOOKUP($C273,'Plaza SP Tar'!$C:$C,'Plaza SP Tar'!I:I)</f>
        <v>5824793.5141185671</v>
      </c>
      <c r="N273" s="1">
        <v>40000</v>
      </c>
      <c r="O273" s="1">
        <f>_xlfn.XLOOKUP($C273,'Plaza SP Tar'!$C:$C,'Plaza SP Tar'!J:J)</f>
        <v>6272854.5536661493</v>
      </c>
      <c r="P273" s="1">
        <v>45000</v>
      </c>
      <c r="Q273" s="1">
        <f>_xlfn.XLOOKUP($C273,'Plaza SP Tar'!$C:$C,'Plaza SP Tar'!K:K)</f>
        <v>6720915.5932137314</v>
      </c>
      <c r="R273">
        <v>50000</v>
      </c>
    </row>
    <row r="274" spans="1:18" x14ac:dyDescent="0.25">
      <c r="A274" t="s">
        <v>229</v>
      </c>
      <c r="B274" t="s">
        <v>289</v>
      </c>
      <c r="C274" t="s">
        <v>298</v>
      </c>
      <c r="D274" s="1">
        <v>4812115</v>
      </c>
      <c r="E274" s="1">
        <f>_xlfn.XLOOKUP($C274,'Plaza SP Tar'!$C:$C,'Plaza SP Tar'!E:E)</f>
        <v>5252577.5387669345</v>
      </c>
      <c r="F274" s="1">
        <v>10000</v>
      </c>
      <c r="G274" s="1">
        <f>_xlfn.XLOOKUP($C274,'Plaza SP Tar'!$C:$C,'Plaza SP Tar'!F:F)</f>
        <v>6002945.7585907821</v>
      </c>
      <c r="H274" s="1">
        <v>18000</v>
      </c>
      <c r="I274" s="1">
        <f>_xlfn.XLOOKUP($C274,'Plaza SP Tar'!$C:$C,'Plaza SP Tar'!G:G)</f>
        <v>6603240.3344498593</v>
      </c>
      <c r="J274" s="1">
        <v>25000</v>
      </c>
      <c r="K274" s="1">
        <f>_xlfn.XLOOKUP($C274,'Plaza SP Tar'!$C:$C,'Plaza SP Tar'!H:H)</f>
        <v>7203534.9103089385</v>
      </c>
      <c r="L274" s="1">
        <v>30000</v>
      </c>
      <c r="M274" s="1">
        <f>_xlfn.XLOOKUP($C274,'Plaza SP Tar'!$C:$C,'Plaza SP Tar'!I:I)</f>
        <v>7803829.4861680167</v>
      </c>
      <c r="N274" s="1">
        <v>40000</v>
      </c>
      <c r="O274" s="1">
        <f>_xlfn.XLOOKUP($C274,'Plaza SP Tar'!$C:$C,'Plaza SP Tar'!J:J)</f>
        <v>8404124.0620270949</v>
      </c>
      <c r="P274" s="1">
        <v>45000</v>
      </c>
      <c r="Q274" s="1">
        <f>_xlfn.XLOOKUP($C274,'Plaza SP Tar'!$C:$C,'Plaza SP Tar'!K:K)</f>
        <v>9004418.6378861722</v>
      </c>
      <c r="R274">
        <v>50000</v>
      </c>
    </row>
    <row r="275" spans="1:18" x14ac:dyDescent="0.25">
      <c r="A275" t="s">
        <v>229</v>
      </c>
      <c r="B275" t="s">
        <v>289</v>
      </c>
      <c r="C275" t="s">
        <v>299</v>
      </c>
      <c r="D275" s="1">
        <v>6302720</v>
      </c>
      <c r="E275" s="1">
        <f>_xlfn.XLOOKUP($C275,'Plaza SP Tar'!$C:$C,'Plaza SP Tar'!E:E)</f>
        <v>6879620.6044820491</v>
      </c>
      <c r="F275" s="1">
        <v>10000</v>
      </c>
      <c r="G275" s="1">
        <f>_xlfn.XLOOKUP($C275,'Plaza SP Tar'!$C:$C,'Plaza SP Tar'!F:F)</f>
        <v>7862423.5479794843</v>
      </c>
      <c r="H275" s="1">
        <v>18000</v>
      </c>
      <c r="I275" s="1">
        <f>_xlfn.XLOOKUP($C275,'Plaza SP Tar'!$C:$C,'Plaza SP Tar'!G:G)</f>
        <v>8648665.9027774315</v>
      </c>
      <c r="J275" s="1">
        <v>25000</v>
      </c>
      <c r="K275" s="1">
        <f>_xlfn.XLOOKUP($C275,'Plaza SP Tar'!$C:$C,'Plaza SP Tar'!H:H)</f>
        <v>9434908.2575753797</v>
      </c>
      <c r="L275" s="1">
        <v>30000</v>
      </c>
      <c r="M275" s="1">
        <f>_xlfn.XLOOKUP($C275,'Plaza SP Tar'!$C:$C,'Plaza SP Tar'!I:I)</f>
        <v>10221150.61237333</v>
      </c>
      <c r="N275" s="1">
        <v>40000</v>
      </c>
      <c r="O275" s="1">
        <f>_xlfn.XLOOKUP($C275,'Plaza SP Tar'!$C:$C,'Plaza SP Tar'!J:J)</f>
        <v>11007392.967171276</v>
      </c>
      <c r="P275" s="1">
        <v>45000</v>
      </c>
      <c r="Q275" s="1">
        <f>_xlfn.XLOOKUP($C275,'Plaza SP Tar'!$C:$C,'Plaza SP Tar'!K:K)</f>
        <v>11793635.321969226</v>
      </c>
      <c r="R275">
        <v>50000</v>
      </c>
    </row>
    <row r="276" spans="1:18" x14ac:dyDescent="0.25">
      <c r="A276" t="s">
        <v>229</v>
      </c>
      <c r="B276" t="s">
        <v>289</v>
      </c>
      <c r="C276" t="s">
        <v>300</v>
      </c>
      <c r="D276" s="1">
        <v>6911242</v>
      </c>
      <c r="E276" s="1">
        <f>_xlfn.XLOOKUP($C276,'Plaza SP Tar'!$C:$C,'Plaza SP Tar'!E:E)</f>
        <v>7543841.8438010449</v>
      </c>
      <c r="F276" s="1">
        <v>10000</v>
      </c>
      <c r="G276" s="1">
        <f>_xlfn.XLOOKUP($C276,'Plaza SP Tar'!$C:$C,'Plaza SP Tar'!F:F)</f>
        <v>8621533.5357726235</v>
      </c>
      <c r="H276" s="1">
        <v>18000</v>
      </c>
      <c r="I276" s="1">
        <f>_xlfn.XLOOKUP($C276,'Plaza SP Tar'!$C:$C,'Plaza SP Tar'!G:G)</f>
        <v>9483686.8893498834</v>
      </c>
      <c r="J276" s="1">
        <v>25000</v>
      </c>
      <c r="K276" s="1">
        <f>_xlfn.XLOOKUP($C276,'Plaza SP Tar'!$C:$C,'Plaza SP Tar'!H:H)</f>
        <v>10345840.242927147</v>
      </c>
      <c r="L276" s="1">
        <v>30000</v>
      </c>
      <c r="M276" s="1">
        <f>_xlfn.XLOOKUP($C276,'Plaza SP Tar'!$C:$C,'Plaza SP Tar'!I:I)</f>
        <v>11207993.596504409</v>
      </c>
      <c r="N276" s="1">
        <v>40000</v>
      </c>
      <c r="O276" s="1">
        <f>_xlfn.XLOOKUP($C276,'Plaza SP Tar'!$C:$C,'Plaza SP Tar'!J:J)</f>
        <v>12070146.950081671</v>
      </c>
      <c r="P276" s="1">
        <v>45000</v>
      </c>
      <c r="Q276" s="1">
        <f>_xlfn.XLOOKUP($C276,'Plaza SP Tar'!$C:$C,'Plaza SP Tar'!K:K)</f>
        <v>12932300.303658934</v>
      </c>
      <c r="R276">
        <v>50000</v>
      </c>
    </row>
    <row r="277" spans="1:18" x14ac:dyDescent="0.25">
      <c r="A277" t="s">
        <v>229</v>
      </c>
      <c r="B277" t="s">
        <v>289</v>
      </c>
      <c r="C277" t="s">
        <v>301</v>
      </c>
      <c r="D277" s="1">
        <v>9998069</v>
      </c>
      <c r="E277" s="1">
        <f>_xlfn.XLOOKUP($C277,'Plaza SP Tar'!$C:$C,'Plaza SP Tar'!E:E)</f>
        <v>10913212.311102703</v>
      </c>
      <c r="F277" s="1">
        <v>10000</v>
      </c>
      <c r="G277" s="1">
        <f>_xlfn.XLOOKUP($C277,'Plaza SP Tar'!$C:$C,'Plaza SP Tar'!F:F)</f>
        <v>12472242.641260233</v>
      </c>
      <c r="H277" s="1">
        <v>18000</v>
      </c>
      <c r="I277" s="1">
        <f>_xlfn.XLOOKUP($C277,'Plaza SP Tar'!$C:$C,'Plaza SP Tar'!G:G)</f>
        <v>13719466.905386254</v>
      </c>
      <c r="J277" s="1">
        <v>25000</v>
      </c>
      <c r="K277" s="1">
        <f>_xlfn.XLOOKUP($C277,'Plaza SP Tar'!$C:$C,'Plaza SP Tar'!H:H)</f>
        <v>14966691.169512277</v>
      </c>
      <c r="L277" s="1">
        <v>30000</v>
      </c>
      <c r="M277" s="1">
        <f>_xlfn.XLOOKUP($C277,'Plaza SP Tar'!$C:$C,'Plaza SP Tar'!I:I)</f>
        <v>16213915.433638303</v>
      </c>
      <c r="N277" s="1">
        <v>40000</v>
      </c>
      <c r="O277" s="1">
        <f>_xlfn.XLOOKUP($C277,'Plaza SP Tar'!$C:$C,'Plaza SP Tar'!J:J)</f>
        <v>17461139.697764322</v>
      </c>
      <c r="P277" s="1">
        <v>45000</v>
      </c>
      <c r="Q277" s="1">
        <f>_xlfn.XLOOKUP($C277,'Plaza SP Tar'!$C:$C,'Plaza SP Tar'!K:K)</f>
        <v>18708363.961890347</v>
      </c>
      <c r="R277">
        <v>50000</v>
      </c>
    </row>
    <row r="278" spans="1:18" x14ac:dyDescent="0.25">
      <c r="A278" t="s">
        <v>229</v>
      </c>
      <c r="B278" t="s">
        <v>289</v>
      </c>
      <c r="C278" t="s">
        <v>302</v>
      </c>
      <c r="D278" s="1">
        <v>8622860</v>
      </c>
      <c r="E278" s="1">
        <f>_xlfn.XLOOKUP($C278,'Plaza SP Tar'!$C:$C,'Plaza SP Tar'!E:E)</f>
        <v>9412127.6727451123</v>
      </c>
      <c r="F278" s="1">
        <v>10000</v>
      </c>
      <c r="G278" s="1">
        <f>_xlfn.XLOOKUP($C278,'Plaza SP Tar'!$C:$C,'Plaza SP Tar'!F:F)</f>
        <v>10756717.340280129</v>
      </c>
      <c r="H278" s="1">
        <v>18000</v>
      </c>
      <c r="I278" s="1">
        <f>_xlfn.XLOOKUP($C278,'Plaza SP Tar'!$C:$C,'Plaza SP Tar'!G:G)</f>
        <v>11832389.07430814</v>
      </c>
      <c r="J278" s="1">
        <v>25000</v>
      </c>
      <c r="K278" s="1">
        <f>_xlfn.XLOOKUP($C278,'Plaza SP Tar'!$C:$C,'Plaza SP Tar'!H:H)</f>
        <v>12908060.808336154</v>
      </c>
      <c r="L278" s="1">
        <v>30000</v>
      </c>
      <c r="M278" s="1">
        <f>_xlfn.XLOOKUP($C278,'Plaza SP Tar'!$C:$C,'Plaza SP Tar'!I:I)</f>
        <v>13983732.542364167</v>
      </c>
      <c r="N278" s="1">
        <v>40000</v>
      </c>
      <c r="O278" s="1">
        <f>_xlfn.XLOOKUP($C278,'Plaza SP Tar'!$C:$C,'Plaza SP Tar'!J:J)</f>
        <v>15059404.276392179</v>
      </c>
      <c r="P278" s="1">
        <v>45000</v>
      </c>
      <c r="Q278" s="1">
        <f>_xlfn.XLOOKUP($C278,'Plaza SP Tar'!$C:$C,'Plaza SP Tar'!K:K)</f>
        <v>16135076.010420192</v>
      </c>
      <c r="R278">
        <v>50000</v>
      </c>
    </row>
    <row r="279" spans="1:18" x14ac:dyDescent="0.25">
      <c r="A279" t="s">
        <v>229</v>
      </c>
      <c r="B279" t="s">
        <v>289</v>
      </c>
      <c r="C279" t="s">
        <v>303</v>
      </c>
      <c r="D279" s="1">
        <v>6685061</v>
      </c>
      <c r="E279" s="1">
        <f>_xlfn.XLOOKUP($C279,'Plaza SP Tar'!$C:$C,'Plaza SP Tar'!E:E)</f>
        <v>7296958.0431653904</v>
      </c>
      <c r="F279" s="1">
        <v>10000</v>
      </c>
      <c r="G279" s="1">
        <f>_xlfn.XLOOKUP($C279,'Plaza SP Tar'!$C:$C,'Plaza SP Tar'!F:F)</f>
        <v>8339380.6207604455</v>
      </c>
      <c r="H279" s="1">
        <v>18000</v>
      </c>
      <c r="I279" s="1">
        <f>_xlfn.XLOOKUP($C279,'Plaza SP Tar'!$C:$C,'Plaza SP Tar'!G:G)</f>
        <v>9173318.6828364898</v>
      </c>
      <c r="J279" s="1">
        <v>25000</v>
      </c>
      <c r="K279" s="1">
        <f>_xlfn.XLOOKUP($C279,'Plaza SP Tar'!$C:$C,'Plaza SP Tar'!H:H)</f>
        <v>10007256.744912535</v>
      </c>
      <c r="L279" s="1">
        <v>30000</v>
      </c>
      <c r="M279" s="1">
        <f>_xlfn.XLOOKUP($C279,'Plaza SP Tar'!$C:$C,'Plaza SP Tar'!I:I)</f>
        <v>10841194.80698858</v>
      </c>
      <c r="N279" s="1">
        <v>40000</v>
      </c>
      <c r="O279" s="1">
        <f>_xlfn.XLOOKUP($C279,'Plaza SP Tar'!$C:$C,'Plaza SP Tar'!J:J)</f>
        <v>11675132.869064623</v>
      </c>
      <c r="P279" s="1">
        <v>45000</v>
      </c>
      <c r="Q279" s="1">
        <f>_xlfn.XLOOKUP($C279,'Plaza SP Tar'!$C:$C,'Plaza SP Tar'!K:K)</f>
        <v>12509070.931140669</v>
      </c>
      <c r="R279">
        <v>50000</v>
      </c>
    </row>
    <row r="280" spans="1:18" x14ac:dyDescent="0.25">
      <c r="A280" t="s">
        <v>304</v>
      </c>
      <c r="B280" t="s">
        <v>305</v>
      </c>
      <c r="C280" t="s">
        <v>306</v>
      </c>
      <c r="D280" s="1">
        <v>3393521</v>
      </c>
      <c r="E280" s="1">
        <f>_xlfn.XLOOKUP($C280,'Plaza SP Tar'!$C:$C,'Plaza SP Tar'!E:E)</f>
        <v>3704136.7843316104</v>
      </c>
      <c r="F280" s="1">
        <v>10000</v>
      </c>
      <c r="G280" s="1">
        <f>_xlfn.XLOOKUP($C280,'Plaza SP Tar'!$C:$C,'Plaza SP Tar'!F:F)</f>
        <v>4233299.1820932692</v>
      </c>
      <c r="H280" s="1">
        <v>18000</v>
      </c>
      <c r="I280" s="1">
        <f>_xlfn.XLOOKUP($C280,'Plaza SP Tar'!$C:$C,'Plaza SP Tar'!G:G)</f>
        <v>4656629.1003025947</v>
      </c>
      <c r="J280" s="1">
        <v>25000</v>
      </c>
      <c r="K280" s="1">
        <f>_xlfn.XLOOKUP($C280,'Plaza SP Tar'!$C:$C,'Plaza SP Tar'!H:H)</f>
        <v>5079959.0185119221</v>
      </c>
      <c r="L280" s="1">
        <v>30000</v>
      </c>
      <c r="M280" s="1">
        <f>_xlfn.XLOOKUP($C280,'Plaza SP Tar'!$C:$C,'Plaza SP Tar'!I:I)</f>
        <v>5503288.9367212495</v>
      </c>
      <c r="N280" s="1">
        <v>40000</v>
      </c>
      <c r="O280" s="1">
        <f>_xlfn.XLOOKUP($C280,'Plaza SP Tar'!$C:$C,'Plaza SP Tar'!J:J)</f>
        <v>5926618.8549305759</v>
      </c>
      <c r="P280" s="1">
        <v>45000</v>
      </c>
      <c r="Q280" s="1">
        <f>_xlfn.XLOOKUP($C280,'Plaza SP Tar'!$C:$C,'Plaza SP Tar'!K:K)</f>
        <v>6349948.7731399024</v>
      </c>
      <c r="R280">
        <v>50000</v>
      </c>
    </row>
    <row r="281" spans="1:18" x14ac:dyDescent="0.25">
      <c r="A281" t="s">
        <v>304</v>
      </c>
      <c r="B281" t="s">
        <v>305</v>
      </c>
      <c r="C281" t="s">
        <v>307</v>
      </c>
      <c r="D281" s="1">
        <v>5060725</v>
      </c>
      <c r="E281" s="1">
        <f>_xlfn.XLOOKUP($C281,'Plaza SP Tar'!$C:$C,'Plaza SP Tar'!E:E)</f>
        <v>5523943.3107638313</v>
      </c>
      <c r="F281" s="1">
        <v>10000</v>
      </c>
      <c r="G281" s="1">
        <f>_xlfn.XLOOKUP($C281,'Plaza SP Tar'!$C:$C,'Plaza SP Tar'!F:F)</f>
        <v>6313078.0694443788</v>
      </c>
      <c r="H281" s="1">
        <v>18000</v>
      </c>
      <c r="I281" s="1">
        <f>_xlfn.XLOOKUP($C281,'Plaza SP Tar'!$C:$C,'Plaza SP Tar'!G:G)</f>
        <v>6944385.8763888162</v>
      </c>
      <c r="J281" s="1">
        <v>25000</v>
      </c>
      <c r="K281" s="1">
        <f>_xlfn.XLOOKUP($C281,'Plaza SP Tar'!$C:$C,'Plaza SP Tar'!H:H)</f>
        <v>7575693.6833332544</v>
      </c>
      <c r="L281" s="1">
        <v>30000</v>
      </c>
      <c r="M281" s="1">
        <f>_xlfn.XLOOKUP($C281,'Plaza SP Tar'!$C:$C,'Plaza SP Tar'!I:I)</f>
        <v>8207001.4902776917</v>
      </c>
      <c r="N281" s="1">
        <v>40000</v>
      </c>
      <c r="O281" s="1">
        <f>_xlfn.XLOOKUP($C281,'Plaza SP Tar'!$C:$C,'Plaza SP Tar'!J:J)</f>
        <v>8838309.29722213</v>
      </c>
      <c r="P281" s="1">
        <v>45000</v>
      </c>
      <c r="Q281" s="1">
        <f>_xlfn.XLOOKUP($C281,'Plaza SP Tar'!$C:$C,'Plaza SP Tar'!K:K)</f>
        <v>9469617.1041665673</v>
      </c>
      <c r="R281">
        <v>50000</v>
      </c>
    </row>
    <row r="282" spans="1:18" x14ac:dyDescent="0.25">
      <c r="A282" t="s">
        <v>304</v>
      </c>
      <c r="B282" t="s">
        <v>305</v>
      </c>
      <c r="C282" t="s">
        <v>308</v>
      </c>
      <c r="D282" s="1">
        <v>1808598</v>
      </c>
      <c r="E282" s="1">
        <f>_xlfn.XLOOKUP($C282,'Plaza SP Tar'!$C:$C,'Plaza SP Tar'!E:E)</f>
        <v>1974142.602880189</v>
      </c>
      <c r="F282" s="1">
        <v>10000</v>
      </c>
      <c r="G282" s="1">
        <f>_xlfn.XLOOKUP($C282,'Plaza SP Tar'!$C:$C,'Plaza SP Tar'!F:F)</f>
        <v>2256162.9747202159</v>
      </c>
      <c r="H282" s="1">
        <v>18000</v>
      </c>
      <c r="I282" s="1">
        <f>_xlfn.XLOOKUP($C282,'Plaza SP Tar'!$C:$C,'Plaza SP Tar'!G:G)</f>
        <v>2481779.272192237</v>
      </c>
      <c r="J282" s="1">
        <v>25000</v>
      </c>
      <c r="K282" s="1">
        <f>_xlfn.XLOOKUP($C282,'Plaza SP Tar'!$C:$C,'Plaza SP Tar'!H:H)</f>
        <v>2707395.569664259</v>
      </c>
      <c r="L282" s="1">
        <v>30000</v>
      </c>
      <c r="M282" s="1">
        <f>_xlfn.XLOOKUP($C282,'Plaza SP Tar'!$C:$C,'Plaza SP Tar'!I:I)</f>
        <v>2933011.8671362805</v>
      </c>
      <c r="N282" s="1">
        <v>40000</v>
      </c>
      <c r="O282" s="1">
        <f>_xlfn.XLOOKUP($C282,'Plaza SP Tar'!$C:$C,'Plaza SP Tar'!J:J)</f>
        <v>3158628.1646083021</v>
      </c>
      <c r="P282" s="1">
        <v>45000</v>
      </c>
      <c r="Q282" s="1">
        <f>_xlfn.XLOOKUP($C282,'Plaza SP Tar'!$C:$C,'Plaza SP Tar'!K:K)</f>
        <v>3384244.4620803236</v>
      </c>
      <c r="R282">
        <v>50000</v>
      </c>
    </row>
    <row r="283" spans="1:18" x14ac:dyDescent="0.25">
      <c r="A283" t="s">
        <v>304</v>
      </c>
      <c r="B283" t="s">
        <v>305</v>
      </c>
      <c r="C283" t="s">
        <v>309</v>
      </c>
      <c r="D283" s="1">
        <v>5316758</v>
      </c>
      <c r="E283" s="1">
        <f>_xlfn.XLOOKUP($C283,'Plaza SP Tar'!$C:$C,'Plaza SP Tar'!E:E)</f>
        <v>5803411.5248408252</v>
      </c>
      <c r="F283" s="1">
        <v>10000</v>
      </c>
      <c r="G283" s="1">
        <f>_xlfn.XLOOKUP($C283,'Plaza SP Tar'!$C:$C,'Plaza SP Tar'!F:F)</f>
        <v>6632470.3141038008</v>
      </c>
      <c r="H283" s="1">
        <v>18000</v>
      </c>
      <c r="I283" s="1">
        <f>_xlfn.XLOOKUP($C283,'Plaza SP Tar'!$C:$C,'Plaza SP Tar'!G:G)</f>
        <v>7295717.3455141801</v>
      </c>
      <c r="J283" s="1">
        <v>25000</v>
      </c>
      <c r="K283" s="1">
        <f>_xlfn.XLOOKUP($C283,'Plaza SP Tar'!$C:$C,'Plaza SP Tar'!H:H)</f>
        <v>7958964.3769245604</v>
      </c>
      <c r="L283" s="1">
        <v>30000</v>
      </c>
      <c r="M283" s="1">
        <f>_xlfn.XLOOKUP($C283,'Plaza SP Tar'!$C:$C,'Plaza SP Tar'!I:I)</f>
        <v>8622211.4083349407</v>
      </c>
      <c r="N283" s="1">
        <v>40000</v>
      </c>
      <c r="O283" s="1">
        <f>_xlfn.XLOOKUP($C283,'Plaza SP Tar'!$C:$C,'Plaza SP Tar'!J:J)</f>
        <v>9285458.43974532</v>
      </c>
      <c r="P283" s="1">
        <v>45000</v>
      </c>
      <c r="Q283" s="1">
        <f>_xlfn.XLOOKUP($C283,'Plaza SP Tar'!$C:$C,'Plaza SP Tar'!K:K)</f>
        <v>9948705.4711556993</v>
      </c>
      <c r="R283">
        <v>50000</v>
      </c>
    </row>
    <row r="284" spans="1:18" x14ac:dyDescent="0.25">
      <c r="A284" t="s">
        <v>304</v>
      </c>
      <c r="B284" t="s">
        <v>305</v>
      </c>
      <c r="C284" t="s">
        <v>310</v>
      </c>
      <c r="D284" s="1">
        <v>1700000</v>
      </c>
      <c r="E284" s="1">
        <f>_xlfn.XLOOKUP($C284,'Plaza SP Tar'!$C:$C,'Plaza SP Tar'!E:E)</f>
        <v>1855604.4100990498</v>
      </c>
      <c r="F284" s="1">
        <v>10000</v>
      </c>
      <c r="G284" s="1">
        <f>_xlfn.XLOOKUP($C284,'Plaza SP Tar'!$C:$C,'Plaza SP Tar'!F:F)</f>
        <v>2120690.7543989141</v>
      </c>
      <c r="H284" s="1">
        <v>18000</v>
      </c>
      <c r="I284" s="1">
        <f>_xlfn.XLOOKUP($C284,'Plaza SP Tar'!$C:$C,'Plaza SP Tar'!G:G)</f>
        <v>2332759.8298388049</v>
      </c>
      <c r="J284" s="1">
        <v>25000</v>
      </c>
      <c r="K284" s="1">
        <f>_xlfn.XLOOKUP($C284,'Plaza SP Tar'!$C:$C,'Plaza SP Tar'!H:H)</f>
        <v>2544828.9052786967</v>
      </c>
      <c r="L284" s="1">
        <v>30000</v>
      </c>
      <c r="M284" s="1">
        <f>_xlfn.XLOOKUP($C284,'Plaza SP Tar'!$C:$C,'Plaza SP Tar'!I:I)</f>
        <v>2756897.980718588</v>
      </c>
      <c r="N284" s="1">
        <v>40000</v>
      </c>
      <c r="O284" s="1">
        <f>_xlfn.XLOOKUP($C284,'Plaza SP Tar'!$C:$C,'Plaza SP Tar'!J:J)</f>
        <v>2968967.0561584793</v>
      </c>
      <c r="P284" s="1">
        <v>45000</v>
      </c>
      <c r="Q284" s="1">
        <f>_xlfn.XLOOKUP($C284,'Plaza SP Tar'!$C:$C,'Plaza SP Tar'!K:K)</f>
        <v>3181036.1315983706</v>
      </c>
      <c r="R284">
        <v>50000</v>
      </c>
    </row>
    <row r="285" spans="1:18" x14ac:dyDescent="0.25">
      <c r="A285" t="s">
        <v>304</v>
      </c>
      <c r="B285" t="s">
        <v>305</v>
      </c>
      <c r="C285" t="s">
        <v>311</v>
      </c>
      <c r="D285" s="1">
        <v>2460408</v>
      </c>
      <c r="E285" s="1">
        <f>_xlfn.XLOOKUP($C285,'Plaza SP Tar'!$C:$C,'Plaza SP Tar'!E:E)</f>
        <v>2685614.0796723426</v>
      </c>
      <c r="F285" s="1">
        <v>10000</v>
      </c>
      <c r="G285" s="1">
        <f>_xlfn.XLOOKUP($C285,'Plaza SP Tar'!$C:$C,'Plaza SP Tar'!F:F)</f>
        <v>3069273.2339112489</v>
      </c>
      <c r="H285" s="1">
        <v>18000</v>
      </c>
      <c r="I285" s="1">
        <f>_xlfn.XLOOKUP($C285,'Plaza SP Tar'!$C:$C,'Plaza SP Tar'!G:G)</f>
        <v>3376200.5573023735</v>
      </c>
      <c r="J285" s="1">
        <v>25000</v>
      </c>
      <c r="K285" s="1">
        <f>_xlfn.XLOOKUP($C285,'Plaza SP Tar'!$C:$C,'Plaza SP Tar'!H:H)</f>
        <v>3683127.8806934985</v>
      </c>
      <c r="L285" s="1">
        <v>30000</v>
      </c>
      <c r="M285" s="1">
        <f>_xlfn.XLOOKUP($C285,'Plaza SP Tar'!$C:$C,'Plaza SP Tar'!I:I)</f>
        <v>3990055.2040846236</v>
      </c>
      <c r="N285" s="1">
        <v>40000</v>
      </c>
      <c r="O285" s="1">
        <f>_xlfn.XLOOKUP($C285,'Plaza SP Tar'!$C:$C,'Plaza SP Tar'!J:J)</f>
        <v>4296982.5274757482</v>
      </c>
      <c r="P285" s="1">
        <v>45000</v>
      </c>
      <c r="Q285" s="1">
        <f>_xlfn.XLOOKUP($C285,'Plaza SP Tar'!$C:$C,'Plaza SP Tar'!K:K)</f>
        <v>4603909.8508668728</v>
      </c>
      <c r="R285">
        <v>50000</v>
      </c>
    </row>
    <row r="286" spans="1:18" x14ac:dyDescent="0.25">
      <c r="A286" t="s">
        <v>304</v>
      </c>
      <c r="B286" t="s">
        <v>305</v>
      </c>
      <c r="C286" t="s">
        <v>312</v>
      </c>
      <c r="D286" s="1">
        <v>7224407</v>
      </c>
      <c r="E286" s="1">
        <f>_xlfn.XLOOKUP($C286,'Plaza SP Tar'!$C:$C,'Plaza SP Tar'!E:E)</f>
        <v>7885671.4644414382</v>
      </c>
      <c r="F286" s="1">
        <v>10000</v>
      </c>
      <c r="G286" s="1">
        <f>_xlfn.XLOOKUP($C286,'Plaza SP Tar'!$C:$C,'Plaza SP Tar'!F:F)</f>
        <v>9012195.9593616445</v>
      </c>
      <c r="H286" s="1">
        <v>18000</v>
      </c>
      <c r="I286" s="1">
        <f>_xlfn.XLOOKUP($C286,'Plaza SP Tar'!$C:$C,'Plaza SP Tar'!G:G)</f>
        <v>9913415.5552978069</v>
      </c>
      <c r="J286" s="1">
        <v>25000</v>
      </c>
      <c r="K286" s="1">
        <f>_xlfn.XLOOKUP($C286,'Plaza SP Tar'!$C:$C,'Plaza SP Tar'!H:H)</f>
        <v>10814635.151233973</v>
      </c>
      <c r="L286" s="1">
        <v>30000</v>
      </c>
      <c r="M286" s="1">
        <f>_xlfn.XLOOKUP($C286,'Plaza SP Tar'!$C:$C,'Plaza SP Tar'!I:I)</f>
        <v>11715854.747170137</v>
      </c>
      <c r="N286" s="1">
        <v>40000</v>
      </c>
      <c r="O286" s="1">
        <f>_xlfn.XLOOKUP($C286,'Plaza SP Tar'!$C:$C,'Plaza SP Tar'!J:J)</f>
        <v>12617074.3431063</v>
      </c>
      <c r="P286" s="1">
        <v>45000</v>
      </c>
      <c r="Q286" s="1">
        <f>_xlfn.XLOOKUP($C286,'Plaza SP Tar'!$C:$C,'Plaza SP Tar'!K:K)</f>
        <v>13518293.939042466</v>
      </c>
      <c r="R286">
        <v>50000</v>
      </c>
    </row>
    <row r="287" spans="1:18" x14ac:dyDescent="0.25">
      <c r="A287" t="s">
        <v>304</v>
      </c>
      <c r="B287" t="s">
        <v>305</v>
      </c>
      <c r="C287" t="s">
        <v>313</v>
      </c>
      <c r="D287" s="1">
        <v>1700000</v>
      </c>
      <c r="E287" s="1">
        <f>_xlfn.XLOOKUP($C287,'Plaza SP Tar'!$C:$C,'Plaza SP Tar'!E:E)</f>
        <v>1855604.4100990498</v>
      </c>
      <c r="F287" s="1">
        <v>10000</v>
      </c>
      <c r="G287" s="1">
        <f>_xlfn.XLOOKUP($C287,'Plaza SP Tar'!$C:$C,'Plaza SP Tar'!F:F)</f>
        <v>2120690.7543989141</v>
      </c>
      <c r="H287" s="1">
        <v>18000</v>
      </c>
      <c r="I287" s="1">
        <f>_xlfn.XLOOKUP($C287,'Plaza SP Tar'!$C:$C,'Plaza SP Tar'!G:G)</f>
        <v>2332759.8298388049</v>
      </c>
      <c r="J287" s="1">
        <v>25000</v>
      </c>
      <c r="K287" s="1">
        <f>_xlfn.XLOOKUP($C287,'Plaza SP Tar'!$C:$C,'Plaza SP Tar'!H:H)</f>
        <v>2544828.9052786967</v>
      </c>
      <c r="L287" s="1">
        <v>30000</v>
      </c>
      <c r="M287" s="1">
        <f>_xlfn.XLOOKUP($C287,'Plaza SP Tar'!$C:$C,'Plaza SP Tar'!I:I)</f>
        <v>2756897.980718588</v>
      </c>
      <c r="N287" s="1">
        <v>40000</v>
      </c>
      <c r="O287" s="1">
        <f>_xlfn.XLOOKUP($C287,'Plaza SP Tar'!$C:$C,'Plaza SP Tar'!J:J)</f>
        <v>2968967.0561584793</v>
      </c>
      <c r="P287" s="1">
        <v>45000</v>
      </c>
      <c r="Q287" s="1">
        <f>_xlfn.XLOOKUP($C287,'Plaza SP Tar'!$C:$C,'Plaza SP Tar'!K:K)</f>
        <v>3181036.1315983706</v>
      </c>
      <c r="R287">
        <v>50000</v>
      </c>
    </row>
    <row r="288" spans="1:18" x14ac:dyDescent="0.25">
      <c r="A288" t="s">
        <v>304</v>
      </c>
      <c r="B288" t="s">
        <v>305</v>
      </c>
      <c r="C288" t="s">
        <v>314</v>
      </c>
      <c r="D288" s="1">
        <v>4411285</v>
      </c>
      <c r="E288" s="1">
        <f>_xlfn.XLOOKUP($C288,'Plaza SP Tar'!$C:$C,'Plaza SP Tar'!E:E)</f>
        <v>4815058.7648257567</v>
      </c>
      <c r="F288" s="1">
        <v>10000</v>
      </c>
      <c r="G288" s="1">
        <f>_xlfn.XLOOKUP($C288,'Plaza SP Tar'!$C:$C,'Plaza SP Tar'!F:F)</f>
        <v>5502924.3026580075</v>
      </c>
      <c r="H288" s="1">
        <v>18000</v>
      </c>
      <c r="I288" s="1">
        <f>_xlfn.XLOOKUP($C288,'Plaza SP Tar'!$C:$C,'Plaza SP Tar'!G:G)</f>
        <v>6053216.7329238076</v>
      </c>
      <c r="J288" s="1">
        <v>25000</v>
      </c>
      <c r="K288" s="1">
        <f>_xlfn.XLOOKUP($C288,'Plaza SP Tar'!$C:$C,'Plaza SP Tar'!H:H)</f>
        <v>6603509.1631896086</v>
      </c>
      <c r="L288" s="1">
        <v>30000</v>
      </c>
      <c r="M288" s="1">
        <f>_xlfn.XLOOKUP($C288,'Plaza SP Tar'!$C:$C,'Plaza SP Tar'!I:I)</f>
        <v>7153801.5934554096</v>
      </c>
      <c r="N288" s="1">
        <v>40000</v>
      </c>
      <c r="O288" s="1">
        <f>_xlfn.XLOOKUP($C288,'Plaza SP Tar'!$C:$C,'Plaza SP Tar'!J:J)</f>
        <v>7704094.0237212097</v>
      </c>
      <c r="P288" s="1">
        <v>45000</v>
      </c>
      <c r="Q288" s="1">
        <f>_xlfn.XLOOKUP($C288,'Plaza SP Tar'!$C:$C,'Plaza SP Tar'!K:K)</f>
        <v>8254386.4539870108</v>
      </c>
      <c r="R288">
        <v>50000</v>
      </c>
    </row>
    <row r="289" spans="1:18" x14ac:dyDescent="0.25">
      <c r="A289" t="s">
        <v>304</v>
      </c>
      <c r="B289" t="s">
        <v>305</v>
      </c>
      <c r="C289" t="s">
        <v>315</v>
      </c>
      <c r="D289" s="1">
        <v>8526386</v>
      </c>
      <c r="E289" s="1">
        <f>_xlfn.XLOOKUP($C289,'Plaza SP Tar'!$C:$C,'Plaza SP Tar'!E:E)</f>
        <v>9306823.2140039988</v>
      </c>
      <c r="F289" s="1">
        <v>10000</v>
      </c>
      <c r="G289" s="1">
        <f>_xlfn.XLOOKUP($C289,'Plaza SP Tar'!$C:$C,'Plaza SP Tar'!F:F)</f>
        <v>10636369.38743314</v>
      </c>
      <c r="H289" s="1">
        <v>18000</v>
      </c>
      <c r="I289" s="1">
        <f>_xlfn.XLOOKUP($C289,'Plaza SP Tar'!$C:$C,'Plaza SP Tar'!G:G)</f>
        <v>11700006.326176453</v>
      </c>
      <c r="J289" s="1">
        <v>25000</v>
      </c>
      <c r="K289" s="1">
        <f>_xlfn.XLOOKUP($C289,'Plaza SP Tar'!$C:$C,'Plaza SP Tar'!H:H)</f>
        <v>12763643.264919767</v>
      </c>
      <c r="L289" s="1">
        <v>30000</v>
      </c>
      <c r="M289" s="1">
        <f>_xlfn.XLOOKUP($C289,'Plaza SP Tar'!$C:$C,'Plaza SP Tar'!I:I)</f>
        <v>13827280.203663083</v>
      </c>
      <c r="N289" s="1">
        <v>40000</v>
      </c>
      <c r="O289" s="1">
        <f>_xlfn.XLOOKUP($C289,'Plaza SP Tar'!$C:$C,'Plaza SP Tar'!J:J)</f>
        <v>14890917.142406395</v>
      </c>
      <c r="P289" s="1">
        <v>45000</v>
      </c>
      <c r="Q289" s="1">
        <f>_xlfn.XLOOKUP($C289,'Plaza SP Tar'!$C:$C,'Plaza SP Tar'!K:K)</f>
        <v>15954554.081149708</v>
      </c>
      <c r="R289">
        <v>50000</v>
      </c>
    </row>
    <row r="290" spans="1:18" x14ac:dyDescent="0.25">
      <c r="A290" t="s">
        <v>304</v>
      </c>
      <c r="B290" t="s">
        <v>305</v>
      </c>
      <c r="C290" t="s">
        <v>316</v>
      </c>
      <c r="D290" s="1">
        <v>2197607</v>
      </c>
      <c r="E290" s="1">
        <f>_xlfn.XLOOKUP($C290,'Plaza SP Tar'!$C:$C,'Plaza SP Tar'!E:E)</f>
        <v>2398758.3769791424</v>
      </c>
      <c r="F290" s="1">
        <v>10000</v>
      </c>
      <c r="G290" s="1">
        <f>_xlfn.XLOOKUP($C290,'Plaza SP Tar'!$C:$C,'Plaza SP Tar'!F:F)</f>
        <v>2741438.1451190202</v>
      </c>
      <c r="H290" s="1">
        <v>18000</v>
      </c>
      <c r="I290" s="1">
        <f>_xlfn.XLOOKUP($C290,'Plaza SP Tar'!$C:$C,'Plaza SP Tar'!G:G)</f>
        <v>3015581.9596309215</v>
      </c>
      <c r="J290" s="1">
        <v>25000</v>
      </c>
      <c r="K290" s="1">
        <f>_xlfn.XLOOKUP($C290,'Plaza SP Tar'!$C:$C,'Plaza SP Tar'!H:H)</f>
        <v>3289725.7741428236</v>
      </c>
      <c r="L290" s="1">
        <v>30000</v>
      </c>
      <c r="M290" s="1">
        <f>_xlfn.XLOOKUP($C290,'Plaza SP Tar'!$C:$C,'Plaza SP Tar'!I:I)</f>
        <v>3563869.5886547258</v>
      </c>
      <c r="N290" s="1">
        <v>40000</v>
      </c>
      <c r="O290" s="1">
        <f>_xlfn.XLOOKUP($C290,'Plaza SP Tar'!$C:$C,'Plaza SP Tar'!J:J)</f>
        <v>3838013.4031666275</v>
      </c>
      <c r="P290" s="1">
        <v>45000</v>
      </c>
      <c r="Q290" s="1">
        <f>_xlfn.XLOOKUP($C290,'Plaza SP Tar'!$C:$C,'Plaza SP Tar'!K:K)</f>
        <v>4112157.2176785297</v>
      </c>
      <c r="R290">
        <v>50000</v>
      </c>
    </row>
    <row r="291" spans="1:18" x14ac:dyDescent="0.25">
      <c r="A291" t="s">
        <v>304</v>
      </c>
      <c r="B291" t="s">
        <v>305</v>
      </c>
      <c r="C291" t="s">
        <v>317</v>
      </c>
      <c r="D291" s="1">
        <v>3508399</v>
      </c>
      <c r="E291" s="1">
        <f>_xlfn.XLOOKUP($C291,'Plaza SP Tar'!$C:$C,'Plaza SP Tar'!E:E)</f>
        <v>3829529.7981100567</v>
      </c>
      <c r="F291" s="1">
        <v>10000</v>
      </c>
      <c r="G291" s="1">
        <f>_xlfn.XLOOKUP($C291,'Plaza SP Tar'!$C:$C,'Plaza SP Tar'!F:F)</f>
        <v>4376605.4835543502</v>
      </c>
      <c r="H291" s="1">
        <v>18000</v>
      </c>
      <c r="I291" s="1">
        <f>_xlfn.XLOOKUP($C291,'Plaza SP Tar'!$C:$C,'Plaza SP Tar'!G:G)</f>
        <v>4814266.0319097843</v>
      </c>
      <c r="J291" s="1">
        <v>25000</v>
      </c>
      <c r="K291" s="1">
        <f>_xlfn.XLOOKUP($C291,'Plaza SP Tar'!$C:$C,'Plaza SP Tar'!H:H)</f>
        <v>5251926.5802652203</v>
      </c>
      <c r="L291" s="1">
        <v>30000</v>
      </c>
      <c r="M291" s="1">
        <f>_xlfn.XLOOKUP($C291,'Plaza SP Tar'!$C:$C,'Plaza SP Tar'!I:I)</f>
        <v>5689587.1286206553</v>
      </c>
      <c r="N291" s="1">
        <v>40000</v>
      </c>
      <c r="O291" s="1">
        <f>_xlfn.XLOOKUP($C291,'Plaza SP Tar'!$C:$C,'Plaza SP Tar'!J:J)</f>
        <v>6127247.6769760894</v>
      </c>
      <c r="P291" s="1">
        <v>45000</v>
      </c>
      <c r="Q291" s="1">
        <f>_xlfn.XLOOKUP($C291,'Plaza SP Tar'!$C:$C,'Plaza SP Tar'!K:K)</f>
        <v>6564908.2253315253</v>
      </c>
      <c r="R291">
        <v>50000</v>
      </c>
    </row>
    <row r="292" spans="1:18" x14ac:dyDescent="0.25">
      <c r="A292" t="s">
        <v>304</v>
      </c>
      <c r="B292" t="s">
        <v>305</v>
      </c>
      <c r="C292" t="s">
        <v>318</v>
      </c>
      <c r="D292" s="1">
        <v>3197837</v>
      </c>
      <c r="E292" s="1">
        <f>_xlfn.XLOOKUP($C292,'Plaza SP Tar'!$C:$C,'Plaza SP Tar'!E:E)</f>
        <v>3490541.4352811263</v>
      </c>
      <c r="F292" s="1">
        <v>10000</v>
      </c>
      <c r="G292" s="1">
        <f>_xlfn.XLOOKUP($C292,'Plaza SP Tar'!$C:$C,'Plaza SP Tar'!F:F)</f>
        <v>3989190.2117498587</v>
      </c>
      <c r="H292" s="1">
        <v>18000</v>
      </c>
      <c r="I292" s="1">
        <f>_xlfn.XLOOKUP($C292,'Plaza SP Tar'!$C:$C,'Plaza SP Tar'!G:G)</f>
        <v>4388109.2329248441</v>
      </c>
      <c r="J292" s="1">
        <v>25000</v>
      </c>
      <c r="K292" s="1">
        <f>_xlfn.XLOOKUP($C292,'Plaza SP Tar'!$C:$C,'Plaza SP Tar'!H:H)</f>
        <v>4787028.2540998301</v>
      </c>
      <c r="L292" s="1">
        <v>30000</v>
      </c>
      <c r="M292" s="1">
        <f>_xlfn.XLOOKUP($C292,'Plaza SP Tar'!$C:$C,'Plaza SP Tar'!I:I)</f>
        <v>5185947.275274816</v>
      </c>
      <c r="N292" s="1">
        <v>40000</v>
      </c>
      <c r="O292" s="1">
        <f>_xlfn.XLOOKUP($C292,'Plaza SP Tar'!$C:$C,'Plaza SP Tar'!J:J)</f>
        <v>5584866.2964498019</v>
      </c>
      <c r="P292" s="1">
        <v>45000</v>
      </c>
      <c r="Q292" s="1">
        <f>_xlfn.XLOOKUP($C292,'Plaza SP Tar'!$C:$C,'Plaza SP Tar'!K:K)</f>
        <v>5983785.3176247878</v>
      </c>
      <c r="R292">
        <v>50000</v>
      </c>
    </row>
    <row r="293" spans="1:18" x14ac:dyDescent="0.25">
      <c r="A293" t="s">
        <v>304</v>
      </c>
      <c r="B293" t="s">
        <v>305</v>
      </c>
      <c r="C293" t="s">
        <v>319</v>
      </c>
      <c r="D293" s="1">
        <v>4497269</v>
      </c>
      <c r="E293" s="1">
        <f>_xlfn.XLOOKUP($C293,'Plaza SP Tar'!$C:$C,'Plaza SP Tar'!E:E)</f>
        <v>4908913.052824555</v>
      </c>
      <c r="F293" s="1">
        <v>10000</v>
      </c>
      <c r="G293" s="1">
        <f>_xlfn.XLOOKUP($C293,'Plaza SP Tar'!$C:$C,'Plaza SP Tar'!F:F)</f>
        <v>5610186.3460852057</v>
      </c>
      <c r="H293" s="1">
        <v>18000</v>
      </c>
      <c r="I293" s="1">
        <f>_xlfn.XLOOKUP($C293,'Plaza SP Tar'!$C:$C,'Plaza SP Tar'!G:G)</f>
        <v>6171204.9806937249</v>
      </c>
      <c r="J293" s="1">
        <v>25000</v>
      </c>
      <c r="K293" s="1">
        <f>_xlfn.XLOOKUP($C293,'Plaza SP Tar'!$C:$C,'Plaza SP Tar'!H:H)</f>
        <v>6732223.6153022461</v>
      </c>
      <c r="L293" s="1">
        <v>30000</v>
      </c>
      <c r="M293" s="1">
        <f>_xlfn.XLOOKUP($C293,'Plaza SP Tar'!$C:$C,'Plaza SP Tar'!I:I)</f>
        <v>7293242.2499107672</v>
      </c>
      <c r="N293" s="1">
        <v>40000</v>
      </c>
      <c r="O293" s="1">
        <f>_xlfn.XLOOKUP($C293,'Plaza SP Tar'!$C:$C,'Plaza SP Tar'!J:J)</f>
        <v>7854260.8845192865</v>
      </c>
      <c r="P293" s="1">
        <v>45000</v>
      </c>
      <c r="Q293" s="1">
        <f>_xlfn.XLOOKUP($C293,'Plaza SP Tar'!$C:$C,'Plaza SP Tar'!K:K)</f>
        <v>8415279.5191278085</v>
      </c>
      <c r="R293">
        <v>50000</v>
      </c>
    </row>
    <row r="294" spans="1:18" x14ac:dyDescent="0.25">
      <c r="A294" t="s">
        <v>304</v>
      </c>
      <c r="B294" t="s">
        <v>320</v>
      </c>
      <c r="C294" t="s">
        <v>321</v>
      </c>
      <c r="D294" s="1">
        <v>2464154</v>
      </c>
      <c r="E294" s="1">
        <f>_xlfn.XLOOKUP($C294,'Plaza SP Tar'!$C:$C,'Plaza SP Tar'!E:E)</f>
        <v>2689702.9585665963</v>
      </c>
      <c r="F294" s="1">
        <v>10000</v>
      </c>
      <c r="G294" s="1">
        <f>_xlfn.XLOOKUP($C294,'Plaza SP Tar'!$C:$C,'Plaza SP Tar'!F:F)</f>
        <v>3073946.2383618243</v>
      </c>
      <c r="H294" s="1">
        <v>18000</v>
      </c>
      <c r="I294" s="1">
        <f>_xlfn.XLOOKUP($C294,'Plaza SP Tar'!$C:$C,'Plaza SP Tar'!G:G)</f>
        <v>3381340.8621980064</v>
      </c>
      <c r="J294" s="1">
        <v>25000</v>
      </c>
      <c r="K294" s="1">
        <f>_xlfn.XLOOKUP($C294,'Plaza SP Tar'!$C:$C,'Plaza SP Tar'!H:H)</f>
        <v>3688735.4860341889</v>
      </c>
      <c r="L294" s="1">
        <v>30000</v>
      </c>
      <c r="M294" s="1">
        <f>_xlfn.XLOOKUP($C294,'Plaza SP Tar'!$C:$C,'Plaza SP Tar'!I:I)</f>
        <v>3996130.1098703714</v>
      </c>
      <c r="N294" s="1">
        <v>40000</v>
      </c>
      <c r="O294" s="1">
        <f>_xlfn.XLOOKUP($C294,'Plaza SP Tar'!$C:$C,'Plaza SP Tar'!J:J)</f>
        <v>4303524.7337065535</v>
      </c>
      <c r="P294" s="1">
        <v>45000</v>
      </c>
      <c r="Q294" s="1">
        <f>_xlfn.XLOOKUP($C294,'Plaza SP Tar'!$C:$C,'Plaza SP Tar'!K:K)</f>
        <v>4610919.3575427365</v>
      </c>
      <c r="R294">
        <v>50000</v>
      </c>
    </row>
    <row r="295" spans="1:18" x14ac:dyDescent="0.25">
      <c r="A295" t="s">
        <v>304</v>
      </c>
      <c r="B295" t="s">
        <v>320</v>
      </c>
      <c r="C295" t="s">
        <v>322</v>
      </c>
      <c r="D295" s="1">
        <v>4445808</v>
      </c>
      <c r="E295" s="1">
        <f>_xlfn.XLOOKUP($C295,'Plaza SP Tar'!$C:$C,'Plaza SP Tar'!E:E)</f>
        <v>4852741.7242668448</v>
      </c>
      <c r="F295" s="1">
        <v>10000</v>
      </c>
      <c r="G295" s="1">
        <f>_xlfn.XLOOKUP($C295,'Plaza SP Tar'!$C:$C,'Plaza SP Tar'!F:F)</f>
        <v>5545990.5420192508</v>
      </c>
      <c r="H295" s="1">
        <v>18000</v>
      </c>
      <c r="I295" s="1">
        <f>_xlfn.XLOOKUP($C295,'Plaza SP Tar'!$C:$C,'Plaza SP Tar'!G:G)</f>
        <v>6100589.596221175</v>
      </c>
      <c r="J295" s="1">
        <v>25000</v>
      </c>
      <c r="K295" s="1">
        <f>_xlfn.XLOOKUP($C295,'Plaza SP Tar'!$C:$C,'Plaza SP Tar'!H:H)</f>
        <v>6655188.6504231011</v>
      </c>
      <c r="L295" s="1">
        <v>30000</v>
      </c>
      <c r="M295" s="1">
        <f>_xlfn.XLOOKUP($C295,'Plaza SP Tar'!$C:$C,'Plaza SP Tar'!I:I)</f>
        <v>7209787.7046250263</v>
      </c>
      <c r="N295" s="1">
        <v>40000</v>
      </c>
      <c r="O295" s="1">
        <f>_xlfn.XLOOKUP($C295,'Plaza SP Tar'!$C:$C,'Plaza SP Tar'!J:J)</f>
        <v>7764386.7588269506</v>
      </c>
      <c r="P295" s="1">
        <v>45000</v>
      </c>
      <c r="Q295" s="1">
        <f>_xlfn.XLOOKUP($C295,'Plaza SP Tar'!$C:$C,'Plaza SP Tar'!K:K)</f>
        <v>8318985.8130288757</v>
      </c>
      <c r="R295">
        <v>50000</v>
      </c>
    </row>
    <row r="296" spans="1:18" x14ac:dyDescent="0.25">
      <c r="A296" t="s">
        <v>304</v>
      </c>
      <c r="B296" t="s">
        <v>320</v>
      </c>
      <c r="C296" t="s">
        <v>323</v>
      </c>
      <c r="D296" s="1">
        <v>1700001</v>
      </c>
      <c r="E296" s="1">
        <f>_xlfn.XLOOKUP($C296,'Plaza SP Tar'!$C:$C,'Plaza SP Tar'!E:E)</f>
        <v>1855605.5016310557</v>
      </c>
      <c r="F296" s="1">
        <v>10000</v>
      </c>
      <c r="G296" s="1">
        <f>_xlfn.XLOOKUP($C296,'Plaza SP Tar'!$C:$C,'Plaza SP Tar'!F:F)</f>
        <v>2120692.0018640636</v>
      </c>
      <c r="H296" s="1">
        <v>18000</v>
      </c>
      <c r="I296" s="1">
        <f>_xlfn.XLOOKUP($C296,'Plaza SP Tar'!$C:$C,'Plaza SP Tar'!G:G)</f>
        <v>2332761.2020504698</v>
      </c>
      <c r="J296" s="1">
        <v>25000</v>
      </c>
      <c r="K296" s="1">
        <f>_xlfn.XLOOKUP($C296,'Plaza SP Tar'!$C:$C,'Plaza SP Tar'!H:H)</f>
        <v>2544830.4022368761</v>
      </c>
      <c r="L296" s="1">
        <v>30000</v>
      </c>
      <c r="M296" s="1">
        <f>_xlfn.XLOOKUP($C296,'Plaza SP Tar'!$C:$C,'Plaza SP Tar'!I:I)</f>
        <v>2756899.6024232828</v>
      </c>
      <c r="N296" s="1">
        <v>40000</v>
      </c>
      <c r="O296" s="1">
        <f>_xlfn.XLOOKUP($C296,'Plaza SP Tar'!$C:$C,'Plaza SP Tar'!J:J)</f>
        <v>2968968.8026096886</v>
      </c>
      <c r="P296" s="1">
        <v>45000</v>
      </c>
      <c r="Q296" s="1">
        <f>_xlfn.XLOOKUP($C296,'Plaza SP Tar'!$C:$C,'Plaza SP Tar'!K:K)</f>
        <v>3181038.0027960953</v>
      </c>
      <c r="R296">
        <v>50000</v>
      </c>
    </row>
    <row r="297" spans="1:18" x14ac:dyDescent="0.25">
      <c r="A297" t="s">
        <v>304</v>
      </c>
      <c r="B297" t="s">
        <v>320</v>
      </c>
      <c r="C297" t="s">
        <v>324</v>
      </c>
      <c r="D297" s="1">
        <v>5197865</v>
      </c>
      <c r="E297" s="1">
        <f>_xlfn.XLOOKUP($C297,'Plaza SP Tar'!$C:$C,'Plaza SP Tar'!E:E)</f>
        <v>5673636.0100585278</v>
      </c>
      <c r="F297" s="1">
        <v>10000</v>
      </c>
      <c r="G297" s="1">
        <f>_xlfn.XLOOKUP($C297,'Plaza SP Tar'!$C:$C,'Plaza SP Tar'!F:F)</f>
        <v>6484155.4400668889</v>
      </c>
      <c r="H297" s="1">
        <v>18000</v>
      </c>
      <c r="I297" s="1">
        <f>_xlfn.XLOOKUP($C297,'Plaza SP Tar'!$C:$C,'Plaza SP Tar'!G:G)</f>
        <v>7132570.9840735765</v>
      </c>
      <c r="J297" s="1">
        <v>25000</v>
      </c>
      <c r="K297" s="1">
        <f>_xlfn.XLOOKUP($C297,'Plaza SP Tar'!$C:$C,'Plaza SP Tar'!H:H)</f>
        <v>7780986.528080266</v>
      </c>
      <c r="L297" s="1">
        <v>30000</v>
      </c>
      <c r="M297" s="1">
        <f>_xlfn.XLOOKUP($C297,'Plaza SP Tar'!$C:$C,'Plaza SP Tar'!I:I)</f>
        <v>8429402.0720869545</v>
      </c>
      <c r="N297" s="1">
        <v>40000</v>
      </c>
      <c r="O297" s="1">
        <f>_xlfn.XLOOKUP($C297,'Plaza SP Tar'!$C:$C,'Plaza SP Tar'!J:J)</f>
        <v>9077817.616093643</v>
      </c>
      <c r="P297" s="1">
        <v>45000</v>
      </c>
      <c r="Q297" s="1">
        <f>_xlfn.XLOOKUP($C297,'Plaza SP Tar'!$C:$C,'Plaza SP Tar'!K:K)</f>
        <v>9726233.1601003334</v>
      </c>
      <c r="R297">
        <v>50000</v>
      </c>
    </row>
    <row r="298" spans="1:18" x14ac:dyDescent="0.25">
      <c r="A298" t="s">
        <v>304</v>
      </c>
      <c r="B298" t="s">
        <v>320</v>
      </c>
      <c r="C298" t="s">
        <v>325</v>
      </c>
      <c r="D298" s="1">
        <v>8281257</v>
      </c>
      <c r="E298" s="1">
        <f>_xlfn.XLOOKUP($C298,'Plaza SP Tar'!$C:$C,'Plaza SP Tar'!E:E)</f>
        <v>9039257.0649197809</v>
      </c>
      <c r="F298" s="1">
        <v>10000</v>
      </c>
      <c r="G298" s="1">
        <f>_xlfn.XLOOKUP($C298,'Plaza SP Tar'!$C:$C,'Plaza SP Tar'!F:F)</f>
        <v>10330579.502765464</v>
      </c>
      <c r="H298" s="1">
        <v>18000</v>
      </c>
      <c r="I298" s="1">
        <f>_xlfn.XLOOKUP($C298,'Plaza SP Tar'!$C:$C,'Plaza SP Tar'!G:G)</f>
        <v>11363637.453042008</v>
      </c>
      <c r="J298" s="1">
        <v>25000</v>
      </c>
      <c r="K298" s="1">
        <f>_xlfn.XLOOKUP($C298,'Plaza SP Tar'!$C:$C,'Plaza SP Tar'!H:H)</f>
        <v>12396695.403318554</v>
      </c>
      <c r="L298" s="1">
        <v>30000</v>
      </c>
      <c r="M298" s="1">
        <f>_xlfn.XLOOKUP($C298,'Plaza SP Tar'!$C:$C,'Plaza SP Tar'!I:I)</f>
        <v>13429753.353595102</v>
      </c>
      <c r="N298" s="1">
        <v>40000</v>
      </c>
      <c r="O298" s="1">
        <f>_xlfn.XLOOKUP($C298,'Plaza SP Tar'!$C:$C,'Plaza SP Tar'!J:J)</f>
        <v>14462811.303871647</v>
      </c>
      <c r="P298" s="1">
        <v>45000</v>
      </c>
      <c r="Q298" s="1">
        <f>_xlfn.XLOOKUP($C298,'Plaza SP Tar'!$C:$C,'Plaza SP Tar'!K:K)</f>
        <v>15495869.254148193</v>
      </c>
      <c r="R298">
        <v>50000</v>
      </c>
    </row>
    <row r="299" spans="1:18" x14ac:dyDescent="0.25">
      <c r="A299" t="s">
        <v>304</v>
      </c>
      <c r="B299" t="s">
        <v>320</v>
      </c>
      <c r="C299" t="s">
        <v>326</v>
      </c>
      <c r="D299" s="1">
        <v>3275439</v>
      </c>
      <c r="E299" s="1">
        <f>_xlfn.XLOOKUP($C299,'Plaza SP Tar'!$C:$C,'Plaza SP Tar'!E:E)</f>
        <v>3575246.5020061303</v>
      </c>
      <c r="F299" s="1">
        <v>10000</v>
      </c>
      <c r="G299" s="1">
        <f>_xlfn.XLOOKUP($C299,'Plaza SP Tar'!$C:$C,'Plaza SP Tar'!F:F)</f>
        <v>4085996.0022927201</v>
      </c>
      <c r="H299" s="1">
        <v>18000</v>
      </c>
      <c r="I299" s="1">
        <f>_xlfn.XLOOKUP($C299,'Plaza SP Tar'!$C:$C,'Plaza SP Tar'!G:G)</f>
        <v>4494595.6025219914</v>
      </c>
      <c r="J299" s="1">
        <v>25000</v>
      </c>
      <c r="K299" s="1">
        <f>_xlfn.XLOOKUP($C299,'Plaza SP Tar'!$C:$C,'Plaza SP Tar'!H:H)</f>
        <v>4903195.202751264</v>
      </c>
      <c r="L299" s="1">
        <v>30000</v>
      </c>
      <c r="M299" s="1">
        <f>_xlfn.XLOOKUP($C299,'Plaza SP Tar'!$C:$C,'Plaza SP Tar'!I:I)</f>
        <v>5311794.8029805366</v>
      </c>
      <c r="N299" s="1">
        <v>40000</v>
      </c>
      <c r="O299" s="1">
        <f>_xlfn.XLOOKUP($C299,'Plaza SP Tar'!$C:$C,'Plaza SP Tar'!J:J)</f>
        <v>5720394.4032098074</v>
      </c>
      <c r="P299" s="1">
        <v>45000</v>
      </c>
      <c r="Q299" s="1">
        <f>_xlfn.XLOOKUP($C299,'Plaza SP Tar'!$C:$C,'Plaza SP Tar'!K:K)</f>
        <v>6128994.00343908</v>
      </c>
      <c r="R299">
        <v>50000</v>
      </c>
    </row>
    <row r="300" spans="1:18" x14ac:dyDescent="0.25">
      <c r="A300" t="s">
        <v>304</v>
      </c>
      <c r="B300" t="s">
        <v>320</v>
      </c>
      <c r="C300" t="s">
        <v>327</v>
      </c>
      <c r="D300" s="1">
        <v>3477158</v>
      </c>
      <c r="E300" s="1">
        <f>_xlfn.XLOOKUP($C300,'Plaza SP Tar'!$C:$C,'Plaza SP Tar'!E:E)</f>
        <v>3795429.2467124658</v>
      </c>
      <c r="F300" s="1">
        <v>10000</v>
      </c>
      <c r="G300" s="1">
        <f>_xlfn.XLOOKUP($C300,'Plaza SP Tar'!$C:$C,'Plaza SP Tar'!F:F)</f>
        <v>4337633.4248142466</v>
      </c>
      <c r="H300" s="1">
        <v>18000</v>
      </c>
      <c r="I300" s="1">
        <f>_xlfn.XLOOKUP($C300,'Plaza SP Tar'!$C:$C,'Plaza SP Tar'!G:G)</f>
        <v>4771396.7672956707</v>
      </c>
      <c r="J300" s="1">
        <v>25000</v>
      </c>
      <c r="K300" s="1">
        <f>_xlfn.XLOOKUP($C300,'Plaza SP Tar'!$C:$C,'Plaza SP Tar'!H:H)</f>
        <v>5205160.1097770957</v>
      </c>
      <c r="L300" s="1">
        <v>30000</v>
      </c>
      <c r="M300" s="1">
        <f>_xlfn.XLOOKUP($C300,'Plaza SP Tar'!$C:$C,'Plaza SP Tar'!I:I)</f>
        <v>5638923.4522585198</v>
      </c>
      <c r="N300" s="1">
        <v>40000</v>
      </c>
      <c r="O300" s="1">
        <f>_xlfn.XLOOKUP($C300,'Plaza SP Tar'!$C:$C,'Plaza SP Tar'!J:J)</f>
        <v>6072686.7947399439</v>
      </c>
      <c r="P300" s="1">
        <v>45000</v>
      </c>
      <c r="Q300" s="1">
        <f>_xlfn.XLOOKUP($C300,'Plaza SP Tar'!$C:$C,'Plaza SP Tar'!K:K)</f>
        <v>6506450.137221369</v>
      </c>
      <c r="R300">
        <v>50000</v>
      </c>
    </row>
    <row r="301" spans="1:18" x14ac:dyDescent="0.25">
      <c r="A301" t="s">
        <v>304</v>
      </c>
      <c r="B301" t="s">
        <v>320</v>
      </c>
      <c r="C301" t="s">
        <v>328</v>
      </c>
      <c r="D301" s="1">
        <v>2754839</v>
      </c>
      <c r="E301" s="1">
        <f>_xlfn.XLOOKUP($C301,'Plaza SP Tar'!$C:$C,'Plaza SP Tar'!E:E)</f>
        <v>3006994.9397134446</v>
      </c>
      <c r="F301" s="1">
        <v>10000</v>
      </c>
      <c r="G301" s="1">
        <f>_xlfn.XLOOKUP($C301,'Plaza SP Tar'!$C:$C,'Plaza SP Tar'!F:F)</f>
        <v>3436565.6453867941</v>
      </c>
      <c r="H301" s="1">
        <v>18000</v>
      </c>
      <c r="I301" s="1">
        <f>_xlfn.XLOOKUP($C301,'Plaza SP Tar'!$C:$C,'Plaza SP Tar'!G:G)</f>
        <v>3780222.2099254727</v>
      </c>
      <c r="J301" s="1">
        <v>25000</v>
      </c>
      <c r="K301" s="1">
        <f>_xlfn.XLOOKUP($C301,'Plaza SP Tar'!$C:$C,'Plaza SP Tar'!H:H)</f>
        <v>4123878.7744641523</v>
      </c>
      <c r="L301" s="1">
        <v>30000</v>
      </c>
      <c r="M301" s="1">
        <f>_xlfn.XLOOKUP($C301,'Plaza SP Tar'!$C:$C,'Plaza SP Tar'!I:I)</f>
        <v>4467535.3390028318</v>
      </c>
      <c r="N301" s="1">
        <v>40000</v>
      </c>
      <c r="O301" s="1">
        <f>_xlfn.XLOOKUP($C301,'Plaza SP Tar'!$C:$C,'Plaza SP Tar'!J:J)</f>
        <v>4811191.9035415109</v>
      </c>
      <c r="P301" s="1">
        <v>45000</v>
      </c>
      <c r="Q301" s="1">
        <f>_xlfn.XLOOKUP($C301,'Plaza SP Tar'!$C:$C,'Plaza SP Tar'!K:K)</f>
        <v>5154848.4680801909</v>
      </c>
      <c r="R301">
        <v>50000</v>
      </c>
    </row>
    <row r="302" spans="1:18" x14ac:dyDescent="0.25">
      <c r="A302" t="s">
        <v>304</v>
      </c>
      <c r="B302" t="s">
        <v>320</v>
      </c>
      <c r="C302" t="s">
        <v>329</v>
      </c>
      <c r="D302" s="1">
        <v>4282694</v>
      </c>
      <c r="E302" s="1">
        <f>_xlfn.XLOOKUP($C302,'Plaza SP Tar'!$C:$C,'Plaza SP Tar'!E:E)</f>
        <v>4674697.5726498468</v>
      </c>
      <c r="F302" s="1">
        <v>10000</v>
      </c>
      <c r="G302" s="1">
        <f>_xlfn.XLOOKUP($C302,'Plaza SP Tar'!$C:$C,'Plaza SP Tar'!F:F)</f>
        <v>5342511.5115998248</v>
      </c>
      <c r="H302" s="1">
        <v>18000</v>
      </c>
      <c r="I302" s="1">
        <f>_xlfn.XLOOKUP($C302,'Plaza SP Tar'!$C:$C,'Plaza SP Tar'!G:G)</f>
        <v>5876762.662759807</v>
      </c>
      <c r="J302" s="1">
        <v>25000</v>
      </c>
      <c r="K302" s="1">
        <f>_xlfn.XLOOKUP($C302,'Plaza SP Tar'!$C:$C,'Plaza SP Tar'!H:H)</f>
        <v>6411013.8139197892</v>
      </c>
      <c r="L302" s="1">
        <v>30000</v>
      </c>
      <c r="M302" s="1">
        <f>_xlfn.XLOOKUP($C302,'Plaza SP Tar'!$C:$C,'Plaza SP Tar'!I:I)</f>
        <v>6945264.9650797723</v>
      </c>
      <c r="N302" s="1">
        <v>40000</v>
      </c>
      <c r="O302" s="1">
        <f>_xlfn.XLOOKUP($C302,'Plaza SP Tar'!$C:$C,'Plaza SP Tar'!J:J)</f>
        <v>7479516.1162397545</v>
      </c>
      <c r="P302" s="1">
        <v>45000</v>
      </c>
      <c r="Q302" s="1">
        <f>_xlfn.XLOOKUP($C302,'Plaza SP Tar'!$C:$C,'Plaza SP Tar'!K:K)</f>
        <v>8013767.2673997367</v>
      </c>
      <c r="R302">
        <v>50000</v>
      </c>
    </row>
    <row r="303" spans="1:18" x14ac:dyDescent="0.25">
      <c r="A303" t="s">
        <v>304</v>
      </c>
      <c r="B303" t="s">
        <v>320</v>
      </c>
      <c r="C303" t="s">
        <v>330</v>
      </c>
      <c r="D303" s="1">
        <v>1700001</v>
      </c>
      <c r="E303" s="1">
        <f>_xlfn.XLOOKUP($C303,'Plaza SP Tar'!$C:$C,'Plaza SP Tar'!E:E)</f>
        <v>1855605.5016310557</v>
      </c>
      <c r="F303" s="1">
        <v>10000</v>
      </c>
      <c r="G303" s="1">
        <f>_xlfn.XLOOKUP($C303,'Plaza SP Tar'!$C:$C,'Plaza SP Tar'!F:F)</f>
        <v>2120692.0018640636</v>
      </c>
      <c r="H303" s="1">
        <v>18000</v>
      </c>
      <c r="I303" s="1">
        <f>_xlfn.XLOOKUP($C303,'Plaza SP Tar'!$C:$C,'Plaza SP Tar'!G:G)</f>
        <v>2332761.2020504698</v>
      </c>
      <c r="J303" s="1">
        <v>25000</v>
      </c>
      <c r="K303" s="1">
        <f>_xlfn.XLOOKUP($C303,'Plaza SP Tar'!$C:$C,'Plaza SP Tar'!H:H)</f>
        <v>2544830.4022368761</v>
      </c>
      <c r="L303" s="1">
        <v>30000</v>
      </c>
      <c r="M303" s="1">
        <f>_xlfn.XLOOKUP($C303,'Plaza SP Tar'!$C:$C,'Plaza SP Tar'!I:I)</f>
        <v>2756899.6024232828</v>
      </c>
      <c r="N303" s="1">
        <v>40000</v>
      </c>
      <c r="O303" s="1">
        <f>_xlfn.XLOOKUP($C303,'Plaza SP Tar'!$C:$C,'Plaza SP Tar'!J:J)</f>
        <v>2968968.8026096886</v>
      </c>
      <c r="P303" s="1">
        <v>45000</v>
      </c>
      <c r="Q303" s="1">
        <f>_xlfn.XLOOKUP($C303,'Plaza SP Tar'!$C:$C,'Plaza SP Tar'!K:K)</f>
        <v>3181038.0027960953</v>
      </c>
      <c r="R303">
        <v>50000</v>
      </c>
    </row>
    <row r="304" spans="1:18" x14ac:dyDescent="0.25">
      <c r="A304" t="s">
        <v>304</v>
      </c>
      <c r="B304" t="s">
        <v>320</v>
      </c>
      <c r="C304" t="s">
        <v>331</v>
      </c>
      <c r="D304" s="1">
        <v>6381096</v>
      </c>
      <c r="E304" s="1">
        <f>_xlfn.XLOOKUP($C304,'Plaza SP Tar'!$C:$C,'Plaza SP Tar'!E:E)</f>
        <v>6965170.5169796506</v>
      </c>
      <c r="F304" s="1">
        <v>10000</v>
      </c>
      <c r="G304" s="1">
        <f>_xlfn.XLOOKUP($C304,'Plaza SP Tar'!$C:$C,'Plaza SP Tar'!F:F)</f>
        <v>7960194.876548172</v>
      </c>
      <c r="H304" s="1">
        <v>18000</v>
      </c>
      <c r="I304" s="1">
        <f>_xlfn.XLOOKUP($C304,'Plaza SP Tar'!$C:$C,'Plaza SP Tar'!G:G)</f>
        <v>8756214.3642029874</v>
      </c>
      <c r="J304" s="1">
        <v>25000</v>
      </c>
      <c r="K304" s="1">
        <f>_xlfn.XLOOKUP($C304,'Plaza SP Tar'!$C:$C,'Plaza SP Tar'!H:H)</f>
        <v>9552233.8518578056</v>
      </c>
      <c r="L304" s="1">
        <v>30000</v>
      </c>
      <c r="M304" s="1">
        <f>_xlfn.XLOOKUP($C304,'Plaza SP Tar'!$C:$C,'Plaza SP Tar'!I:I)</f>
        <v>10348253.339512624</v>
      </c>
      <c r="N304" s="1">
        <v>40000</v>
      </c>
      <c r="O304" s="1">
        <f>_xlfn.XLOOKUP($C304,'Plaza SP Tar'!$C:$C,'Plaza SP Tar'!J:J)</f>
        <v>11144272.82716744</v>
      </c>
      <c r="P304" s="1">
        <v>45000</v>
      </c>
      <c r="Q304" s="1">
        <f>_xlfn.XLOOKUP($C304,'Plaza SP Tar'!$C:$C,'Plaza SP Tar'!K:K)</f>
        <v>11940292.314822257</v>
      </c>
      <c r="R304">
        <v>50000</v>
      </c>
    </row>
    <row r="305" spans="1:18" x14ac:dyDescent="0.25">
      <c r="A305" t="s">
        <v>304</v>
      </c>
      <c r="B305" t="s">
        <v>320</v>
      </c>
      <c r="C305" t="s">
        <v>332</v>
      </c>
      <c r="D305" s="1">
        <v>5268587</v>
      </c>
      <c r="E305" s="1">
        <f>_xlfn.XLOOKUP($C305,'Plaza SP Tar'!$C:$C,'Plaza SP Tar'!E:E)</f>
        <v>5750831.3365826597</v>
      </c>
      <c r="F305" s="1">
        <v>10000</v>
      </c>
      <c r="G305" s="1">
        <f>_xlfn.XLOOKUP($C305,'Plaza SP Tar'!$C:$C,'Plaza SP Tar'!F:F)</f>
        <v>6572378.6703801826</v>
      </c>
      <c r="H305" s="1">
        <v>18000</v>
      </c>
      <c r="I305" s="1">
        <f>_xlfn.XLOOKUP($C305,'Plaza SP Tar'!$C:$C,'Plaza SP Tar'!G:G)</f>
        <v>7229616.5374182006</v>
      </c>
      <c r="J305" s="1">
        <v>25000</v>
      </c>
      <c r="K305" s="1">
        <f>_xlfn.XLOOKUP($C305,'Plaza SP Tar'!$C:$C,'Plaza SP Tar'!H:H)</f>
        <v>7886854.4044562187</v>
      </c>
      <c r="L305" s="1">
        <v>30000</v>
      </c>
      <c r="M305" s="1">
        <f>_xlfn.XLOOKUP($C305,'Plaza SP Tar'!$C:$C,'Plaza SP Tar'!I:I)</f>
        <v>8544092.2714942377</v>
      </c>
      <c r="N305" s="1">
        <v>40000</v>
      </c>
      <c r="O305" s="1">
        <f>_xlfn.XLOOKUP($C305,'Plaza SP Tar'!$C:$C,'Plaza SP Tar'!J:J)</f>
        <v>9201330.1385322548</v>
      </c>
      <c r="P305" s="1">
        <v>45000</v>
      </c>
      <c r="Q305" s="1">
        <f>_xlfn.XLOOKUP($C305,'Plaza SP Tar'!$C:$C,'Plaza SP Tar'!K:K)</f>
        <v>9858568.0055702738</v>
      </c>
      <c r="R305">
        <v>50000</v>
      </c>
    </row>
    <row r="306" spans="1:18" x14ac:dyDescent="0.25">
      <c r="A306" t="s">
        <v>304</v>
      </c>
      <c r="B306" t="s">
        <v>320</v>
      </c>
      <c r="C306" t="s">
        <v>333</v>
      </c>
      <c r="D306" s="1">
        <v>1700000</v>
      </c>
      <c r="E306" s="1">
        <f>_xlfn.XLOOKUP($C306,'Plaza SP Tar'!$C:$C,'Plaza SP Tar'!E:E)</f>
        <v>1855604.4100990498</v>
      </c>
      <c r="F306" s="1">
        <v>10000</v>
      </c>
      <c r="G306" s="1">
        <f>_xlfn.XLOOKUP($C306,'Plaza SP Tar'!$C:$C,'Plaza SP Tar'!F:F)</f>
        <v>2120690.7543989141</v>
      </c>
      <c r="H306" s="1">
        <v>18000</v>
      </c>
      <c r="I306" s="1">
        <f>_xlfn.XLOOKUP($C306,'Plaza SP Tar'!$C:$C,'Plaza SP Tar'!G:G)</f>
        <v>2332759.8298388049</v>
      </c>
      <c r="J306" s="1">
        <v>25000</v>
      </c>
      <c r="K306" s="1">
        <f>_xlfn.XLOOKUP($C306,'Plaza SP Tar'!$C:$C,'Plaza SP Tar'!H:H)</f>
        <v>2544828.9052786967</v>
      </c>
      <c r="L306" s="1">
        <v>30000</v>
      </c>
      <c r="M306" s="1">
        <f>_xlfn.XLOOKUP($C306,'Plaza SP Tar'!$C:$C,'Plaza SP Tar'!I:I)</f>
        <v>2756897.980718588</v>
      </c>
      <c r="N306" s="1">
        <v>40000</v>
      </c>
      <c r="O306" s="1">
        <f>_xlfn.XLOOKUP($C306,'Plaza SP Tar'!$C:$C,'Plaza SP Tar'!J:J)</f>
        <v>2968967.0561584793</v>
      </c>
      <c r="P306" s="1">
        <v>45000</v>
      </c>
      <c r="Q306" s="1">
        <f>_xlfn.XLOOKUP($C306,'Plaza SP Tar'!$C:$C,'Plaza SP Tar'!K:K)</f>
        <v>3181036.1315983706</v>
      </c>
      <c r="R306">
        <v>50000</v>
      </c>
    </row>
    <row r="307" spans="1:18" x14ac:dyDescent="0.25">
      <c r="A307" t="s">
        <v>304</v>
      </c>
      <c r="B307" t="s">
        <v>320</v>
      </c>
      <c r="C307" t="s">
        <v>334</v>
      </c>
      <c r="D307" s="1">
        <v>3677026</v>
      </c>
      <c r="E307" s="1">
        <f>_xlfn.XLOOKUP($C307,'Plaza SP Tar'!$C:$C,'Plaza SP Tar'!E:E)</f>
        <v>4013591.5656758049</v>
      </c>
      <c r="F307" s="1">
        <v>10000</v>
      </c>
      <c r="G307" s="1">
        <f>_xlfn.XLOOKUP($C307,'Plaza SP Tar'!$C:$C,'Plaza SP Tar'!F:F)</f>
        <v>4586961.7893437771</v>
      </c>
      <c r="H307" s="1">
        <v>18000</v>
      </c>
      <c r="I307" s="1">
        <f>_xlfn.XLOOKUP($C307,'Plaza SP Tar'!$C:$C,'Plaza SP Tar'!G:G)</f>
        <v>5045657.9682781538</v>
      </c>
      <c r="J307" s="1">
        <v>25000</v>
      </c>
      <c r="K307" s="1">
        <f>_xlfn.XLOOKUP($C307,'Plaza SP Tar'!$C:$C,'Plaza SP Tar'!H:H)</f>
        <v>5504354.1472125323</v>
      </c>
      <c r="L307" s="1">
        <v>30000</v>
      </c>
      <c r="M307" s="1">
        <f>_xlfn.XLOOKUP($C307,'Plaza SP Tar'!$C:$C,'Plaza SP Tar'!I:I)</f>
        <v>5963050.32614691</v>
      </c>
      <c r="N307" s="1">
        <v>40000</v>
      </c>
      <c r="O307" s="1">
        <f>_xlfn.XLOOKUP($C307,'Plaza SP Tar'!$C:$C,'Plaza SP Tar'!J:J)</f>
        <v>6421746.5050812876</v>
      </c>
      <c r="P307" s="1">
        <v>45000</v>
      </c>
      <c r="Q307" s="1">
        <f>_xlfn.XLOOKUP($C307,'Plaza SP Tar'!$C:$C,'Plaza SP Tar'!K:K)</f>
        <v>6880442.6840156652</v>
      </c>
      <c r="R307">
        <v>50000</v>
      </c>
    </row>
    <row r="308" spans="1:18" x14ac:dyDescent="0.25">
      <c r="A308" t="s">
        <v>304</v>
      </c>
      <c r="B308" t="s">
        <v>320</v>
      </c>
      <c r="C308" t="s">
        <v>335</v>
      </c>
      <c r="D308" s="1">
        <v>6136779</v>
      </c>
      <c r="E308" s="1">
        <f>_xlfn.XLOOKUP($C308,'Plaza SP Tar'!$C:$C,'Plaza SP Tar'!E:E)</f>
        <v>6698490.6918842569</v>
      </c>
      <c r="F308" s="1">
        <v>10000</v>
      </c>
      <c r="G308" s="1">
        <f>_xlfn.XLOOKUP($C308,'Plaza SP Tar'!$C:$C,'Plaza SP Tar'!F:F)</f>
        <v>7655417.9335820079</v>
      </c>
      <c r="H308" s="1">
        <v>18000</v>
      </c>
      <c r="I308" s="1">
        <f>_xlfn.XLOOKUP($C308,'Plaza SP Tar'!$C:$C,'Plaza SP Tar'!G:G)</f>
        <v>8420959.7269402072</v>
      </c>
      <c r="J308" s="1">
        <v>25000</v>
      </c>
      <c r="K308" s="1">
        <f>_xlfn.XLOOKUP($C308,'Plaza SP Tar'!$C:$C,'Plaza SP Tar'!H:H)</f>
        <v>9186501.5202984083</v>
      </c>
      <c r="L308" s="1">
        <v>30000</v>
      </c>
      <c r="M308" s="1">
        <f>_xlfn.XLOOKUP($C308,'Plaza SP Tar'!$C:$C,'Plaza SP Tar'!I:I)</f>
        <v>9952043.3136566095</v>
      </c>
      <c r="N308" s="1">
        <v>40000</v>
      </c>
      <c r="O308" s="1">
        <f>_xlfn.XLOOKUP($C308,'Plaza SP Tar'!$C:$C,'Plaza SP Tar'!J:J)</f>
        <v>10717585.107014809</v>
      </c>
      <c r="P308" s="1">
        <v>45000</v>
      </c>
      <c r="Q308" s="1">
        <f>_xlfn.XLOOKUP($C308,'Plaza SP Tar'!$C:$C,'Plaza SP Tar'!K:K)</f>
        <v>11483126.90037301</v>
      </c>
      <c r="R308">
        <v>50000</v>
      </c>
    </row>
    <row r="309" spans="1:18" x14ac:dyDescent="0.25">
      <c r="A309" t="s">
        <v>304</v>
      </c>
      <c r="B309" t="s">
        <v>320</v>
      </c>
      <c r="C309" t="s">
        <v>336</v>
      </c>
      <c r="D309" s="1">
        <v>8242343</v>
      </c>
      <c r="E309" s="1">
        <f>_xlfn.XLOOKUP($C309,'Plaza SP Tar'!$C:$C,'Plaza SP Tar'!E:E)</f>
        <v>8996781.1884406079</v>
      </c>
      <c r="F309" s="1">
        <v>10000</v>
      </c>
      <c r="G309" s="1">
        <f>_xlfn.XLOOKUP($C309,'Plaza SP Tar'!$C:$C,'Plaza SP Tar'!F:F)</f>
        <v>10282035.643932123</v>
      </c>
      <c r="H309" s="1">
        <v>18000</v>
      </c>
      <c r="I309" s="1">
        <f>_xlfn.XLOOKUP($C309,'Plaza SP Tar'!$C:$C,'Plaza SP Tar'!G:G)</f>
        <v>11310239.208325334</v>
      </c>
      <c r="J309" s="1">
        <v>25000</v>
      </c>
      <c r="K309" s="1">
        <f>_xlfn.XLOOKUP($C309,'Plaza SP Tar'!$C:$C,'Plaza SP Tar'!H:H)</f>
        <v>12338442.772718545</v>
      </c>
      <c r="L309" s="1">
        <v>30000</v>
      </c>
      <c r="M309" s="1">
        <f>_xlfn.XLOOKUP($C309,'Plaza SP Tar'!$C:$C,'Plaza SP Tar'!I:I)</f>
        <v>13366646.337111758</v>
      </c>
      <c r="N309" s="1">
        <v>40000</v>
      </c>
      <c r="O309" s="1">
        <f>_xlfn.XLOOKUP($C309,'Plaza SP Tar'!$C:$C,'Plaza SP Tar'!J:J)</f>
        <v>14394849.901504969</v>
      </c>
      <c r="P309" s="1">
        <v>45000</v>
      </c>
      <c r="Q309" s="1">
        <f>_xlfn.XLOOKUP($C309,'Plaza SP Tar'!$C:$C,'Plaza SP Tar'!K:K)</f>
        <v>15423053.465898182</v>
      </c>
      <c r="R309">
        <v>50000</v>
      </c>
    </row>
    <row r="310" spans="1:18" x14ac:dyDescent="0.25">
      <c r="A310" t="s">
        <v>304</v>
      </c>
      <c r="B310" t="s">
        <v>320</v>
      </c>
      <c r="C310" t="s">
        <v>337</v>
      </c>
      <c r="D310" s="1">
        <v>2833463</v>
      </c>
      <c r="E310" s="1">
        <f>_xlfn.XLOOKUP($C310,'Plaza SP Tar'!$C:$C,'Plaza SP Tar'!E:E)</f>
        <v>3092815.55214852</v>
      </c>
      <c r="F310" s="1">
        <v>10000</v>
      </c>
      <c r="G310" s="1">
        <f>_xlfn.XLOOKUP($C310,'Plaza SP Tar'!$C:$C,'Plaza SP Tar'!F:F)</f>
        <v>3534646.345312594</v>
      </c>
      <c r="H310" s="1">
        <v>18000</v>
      </c>
      <c r="I310" s="1">
        <f>_xlfn.XLOOKUP($C310,'Plaza SP Tar'!$C:$C,'Plaza SP Tar'!G:G)</f>
        <v>3888110.979843853</v>
      </c>
      <c r="J310" s="1">
        <v>25000</v>
      </c>
      <c r="K310" s="1">
        <f>_xlfn.XLOOKUP($C310,'Plaza SP Tar'!$C:$C,'Plaza SP Tar'!H:H)</f>
        <v>4241575.6143751126</v>
      </c>
      <c r="L310" s="1">
        <v>30000</v>
      </c>
      <c r="M310" s="1">
        <f>_xlfn.XLOOKUP($C310,'Plaza SP Tar'!$C:$C,'Plaza SP Tar'!I:I)</f>
        <v>4595040.2489063721</v>
      </c>
      <c r="N310" s="1">
        <v>40000</v>
      </c>
      <c r="O310" s="1">
        <f>_xlfn.XLOOKUP($C310,'Plaza SP Tar'!$C:$C,'Plaza SP Tar'!J:J)</f>
        <v>4948504.8834376307</v>
      </c>
      <c r="P310" s="1">
        <v>45000</v>
      </c>
      <c r="Q310" s="1">
        <f>_xlfn.XLOOKUP($C310,'Plaza SP Tar'!$C:$C,'Plaza SP Tar'!K:K)</f>
        <v>5301969.5179688912</v>
      </c>
      <c r="R310">
        <v>50000</v>
      </c>
    </row>
    <row r="311" spans="1:18" x14ac:dyDescent="0.25">
      <c r="A311" t="s">
        <v>304</v>
      </c>
      <c r="B311" t="s">
        <v>338</v>
      </c>
      <c r="C311" t="s">
        <v>339</v>
      </c>
      <c r="D311" s="1">
        <v>1944529</v>
      </c>
      <c r="E311" s="1">
        <f>_xlfn.XLOOKUP($C311,'Plaza SP Tar'!$C:$C,'Plaza SP Tar'!E:E)</f>
        <v>2122515.6399797029</v>
      </c>
      <c r="F311" s="1">
        <v>10000</v>
      </c>
      <c r="G311" s="1">
        <f>_xlfn.XLOOKUP($C311,'Plaza SP Tar'!$C:$C,'Plaza SP Tar'!F:F)</f>
        <v>2425732.1599768032</v>
      </c>
      <c r="H311" s="1">
        <v>18000</v>
      </c>
      <c r="I311" s="1">
        <f>_xlfn.XLOOKUP($C311,'Plaza SP Tar'!$C:$C,'Plaza SP Tar'!G:G)</f>
        <v>2668305.3759744833</v>
      </c>
      <c r="J311" s="1">
        <v>25000</v>
      </c>
      <c r="K311" s="1">
        <f>_xlfn.XLOOKUP($C311,'Plaza SP Tar'!$C:$C,'Plaza SP Tar'!H:H)</f>
        <v>2910878.5919721639</v>
      </c>
      <c r="L311" s="1">
        <v>30000</v>
      </c>
      <c r="M311" s="1">
        <f>_xlfn.XLOOKUP($C311,'Plaza SP Tar'!$C:$C,'Plaza SP Tar'!I:I)</f>
        <v>3153451.8079698444</v>
      </c>
      <c r="N311" s="1">
        <v>40000</v>
      </c>
      <c r="O311" s="1">
        <f>_xlfn.XLOOKUP($C311,'Plaza SP Tar'!$C:$C,'Plaza SP Tar'!J:J)</f>
        <v>3396025.0239675245</v>
      </c>
      <c r="P311" s="1">
        <v>45000</v>
      </c>
      <c r="Q311" s="1">
        <f>_xlfn.XLOOKUP($C311,'Plaza SP Tar'!$C:$C,'Plaza SP Tar'!K:K)</f>
        <v>3638598.2399652046</v>
      </c>
      <c r="R311">
        <v>50000</v>
      </c>
    </row>
    <row r="312" spans="1:18" x14ac:dyDescent="0.25">
      <c r="A312" t="s">
        <v>304</v>
      </c>
      <c r="B312" t="s">
        <v>338</v>
      </c>
      <c r="C312" t="s">
        <v>340</v>
      </c>
      <c r="D312" s="1">
        <v>3365882</v>
      </c>
      <c r="E312" s="1">
        <f>_xlfn.XLOOKUP($C312,'Plaza SP Tar'!$C:$C,'Plaza SP Tar'!E:E)</f>
        <v>3673967.9312194176</v>
      </c>
      <c r="F312" s="1">
        <v>10000</v>
      </c>
      <c r="G312" s="1">
        <f>_xlfn.XLOOKUP($C312,'Plaza SP Tar'!$C:$C,'Plaza SP Tar'!F:F)</f>
        <v>4198820.4928221917</v>
      </c>
      <c r="H312" s="1">
        <v>18000</v>
      </c>
      <c r="I312" s="1">
        <f>_xlfn.XLOOKUP($C312,'Plaza SP Tar'!$C:$C,'Plaza SP Tar'!G:G)</f>
        <v>4618702.54210441</v>
      </c>
      <c r="J312" s="1">
        <v>25000</v>
      </c>
      <c r="K312" s="1">
        <f>_xlfn.XLOOKUP($C312,'Plaza SP Tar'!$C:$C,'Plaza SP Tar'!H:H)</f>
        <v>5038584.5913866293</v>
      </c>
      <c r="L312" s="1">
        <v>30000</v>
      </c>
      <c r="M312" s="1">
        <f>_xlfn.XLOOKUP($C312,'Plaza SP Tar'!$C:$C,'Plaza SP Tar'!I:I)</f>
        <v>5458466.6406688485</v>
      </c>
      <c r="N312" s="1">
        <v>40000</v>
      </c>
      <c r="O312" s="1">
        <f>_xlfn.XLOOKUP($C312,'Plaza SP Tar'!$C:$C,'Plaza SP Tar'!J:J)</f>
        <v>5878348.6899510669</v>
      </c>
      <c r="P312" s="1">
        <v>45000</v>
      </c>
      <c r="Q312" s="1">
        <f>_xlfn.XLOOKUP($C312,'Plaza SP Tar'!$C:$C,'Plaza SP Tar'!K:K)</f>
        <v>6298230.7392332871</v>
      </c>
      <c r="R312">
        <v>50000</v>
      </c>
    </row>
    <row r="313" spans="1:18" x14ac:dyDescent="0.25">
      <c r="A313" t="s">
        <v>304</v>
      </c>
      <c r="B313" t="s">
        <v>338</v>
      </c>
      <c r="C313" t="s">
        <v>341</v>
      </c>
      <c r="D313" s="1">
        <v>5049786</v>
      </c>
      <c r="E313" s="1">
        <f>_xlfn.XLOOKUP($C313,'Plaza SP Tar'!$C:$C,'Plaza SP Tar'!E:E)</f>
        <v>5512003.0421508467</v>
      </c>
      <c r="F313" s="1">
        <v>10000</v>
      </c>
      <c r="G313" s="1">
        <f>_xlfn.XLOOKUP($C313,'Plaza SP Tar'!$C:$C,'Plaza SP Tar'!F:F)</f>
        <v>6299432.0481723966</v>
      </c>
      <c r="H313" s="1">
        <v>18000</v>
      </c>
      <c r="I313" s="1">
        <f>_xlfn.XLOOKUP($C313,'Plaza SP Tar'!$C:$C,'Plaza SP Tar'!G:G)</f>
        <v>6929375.2529896358</v>
      </c>
      <c r="J313" s="1">
        <v>25000</v>
      </c>
      <c r="K313" s="1">
        <f>_xlfn.XLOOKUP($C313,'Plaza SP Tar'!$C:$C,'Plaza SP Tar'!H:H)</f>
        <v>7559318.457806875</v>
      </c>
      <c r="L313" s="1">
        <v>30000</v>
      </c>
      <c r="M313" s="1">
        <f>_xlfn.XLOOKUP($C313,'Plaza SP Tar'!$C:$C,'Plaza SP Tar'!I:I)</f>
        <v>8189261.6626241151</v>
      </c>
      <c r="N313" s="1">
        <v>40000</v>
      </c>
      <c r="O313" s="1">
        <f>_xlfn.XLOOKUP($C313,'Plaza SP Tar'!$C:$C,'Plaza SP Tar'!J:J)</f>
        <v>8819204.8674413543</v>
      </c>
      <c r="P313" s="1">
        <v>45000</v>
      </c>
      <c r="Q313" s="1">
        <f>_xlfn.XLOOKUP($C313,'Plaza SP Tar'!$C:$C,'Plaza SP Tar'!K:K)</f>
        <v>9449148.0722585935</v>
      </c>
      <c r="R313">
        <v>50000</v>
      </c>
    </row>
    <row r="314" spans="1:18" x14ac:dyDescent="0.25">
      <c r="A314" t="s">
        <v>304</v>
      </c>
      <c r="B314" t="s">
        <v>338</v>
      </c>
      <c r="C314" t="s">
        <v>342</v>
      </c>
      <c r="D314" s="1">
        <v>5762930</v>
      </c>
      <c r="E314" s="1">
        <f>_xlfn.XLOOKUP($C314,'Plaza SP Tar'!$C:$C,'Plaza SP Tar'!E:E)</f>
        <v>6290422.5429953625</v>
      </c>
      <c r="F314" s="1">
        <v>10000</v>
      </c>
      <c r="G314" s="1">
        <f>_xlfn.XLOOKUP($C314,'Plaza SP Tar'!$C:$C,'Plaza SP Tar'!F:F)</f>
        <v>7189054.3348518433</v>
      </c>
      <c r="H314" s="1">
        <v>18000</v>
      </c>
      <c r="I314" s="1">
        <f>_xlfn.XLOOKUP($C314,'Plaza SP Tar'!$C:$C,'Plaza SP Tar'!G:G)</f>
        <v>7907959.7683370262</v>
      </c>
      <c r="J314" s="1">
        <v>25000</v>
      </c>
      <c r="K314" s="1">
        <f>_xlfn.XLOOKUP($C314,'Plaza SP Tar'!$C:$C,'Plaza SP Tar'!H:H)</f>
        <v>8626865.201822212</v>
      </c>
      <c r="L314" s="1">
        <v>30000</v>
      </c>
      <c r="M314" s="1">
        <f>_xlfn.XLOOKUP($C314,'Plaza SP Tar'!$C:$C,'Plaza SP Tar'!I:I)</f>
        <v>9345770.6353073958</v>
      </c>
      <c r="N314" s="1">
        <v>40000</v>
      </c>
      <c r="O314" s="1">
        <f>_xlfn.XLOOKUP($C314,'Plaza SP Tar'!$C:$C,'Plaza SP Tar'!J:J)</f>
        <v>10064676.06879258</v>
      </c>
      <c r="P314" s="1">
        <v>45000</v>
      </c>
      <c r="Q314" s="1">
        <f>_xlfn.XLOOKUP($C314,'Plaza SP Tar'!$C:$C,'Plaza SP Tar'!K:K)</f>
        <v>10783581.502277764</v>
      </c>
      <c r="R314">
        <v>50000</v>
      </c>
    </row>
    <row r="315" spans="1:18" x14ac:dyDescent="0.25">
      <c r="A315" t="s">
        <v>304</v>
      </c>
      <c r="B315" t="s">
        <v>338</v>
      </c>
      <c r="C315" t="s">
        <v>343</v>
      </c>
      <c r="D315" s="1">
        <v>3827667</v>
      </c>
      <c r="E315" s="1">
        <f>_xlfn.XLOOKUP($C315,'Plaza SP Tar'!$C:$C,'Plaza SP Tar'!E:E)</f>
        <v>4178021.0385827054</v>
      </c>
      <c r="F315" s="1">
        <v>10000</v>
      </c>
      <c r="G315" s="1">
        <f>_xlfn.XLOOKUP($C315,'Plaza SP Tar'!$C:$C,'Plaza SP Tar'!F:F)</f>
        <v>4774881.1869516633</v>
      </c>
      <c r="H315" s="1">
        <v>18000</v>
      </c>
      <c r="I315" s="1">
        <f>_xlfn.XLOOKUP($C315,'Plaza SP Tar'!$C:$C,'Plaza SP Tar'!G:G)</f>
        <v>5252369.3056468293</v>
      </c>
      <c r="J315" s="1">
        <v>25000</v>
      </c>
      <c r="K315" s="1">
        <f>_xlfn.XLOOKUP($C315,'Plaza SP Tar'!$C:$C,'Plaza SP Tar'!H:H)</f>
        <v>5729857.4243419953</v>
      </c>
      <c r="L315" s="1">
        <v>30000</v>
      </c>
      <c r="M315" s="1">
        <f>_xlfn.XLOOKUP($C315,'Plaza SP Tar'!$C:$C,'Plaza SP Tar'!I:I)</f>
        <v>6207345.5430371622</v>
      </c>
      <c r="N315" s="1">
        <v>40000</v>
      </c>
      <c r="O315" s="1">
        <f>_xlfn.XLOOKUP($C315,'Plaza SP Tar'!$C:$C,'Plaza SP Tar'!J:J)</f>
        <v>6684833.6617323281</v>
      </c>
      <c r="P315" s="1">
        <v>45000</v>
      </c>
      <c r="Q315" s="1">
        <f>_xlfn.XLOOKUP($C315,'Plaza SP Tar'!$C:$C,'Plaza SP Tar'!K:K)</f>
        <v>7162321.780427495</v>
      </c>
      <c r="R315">
        <v>50000</v>
      </c>
    </row>
    <row r="316" spans="1:18" x14ac:dyDescent="0.25">
      <c r="A316" t="s">
        <v>304</v>
      </c>
      <c r="B316" t="s">
        <v>338</v>
      </c>
      <c r="C316" t="s">
        <v>344</v>
      </c>
      <c r="D316" s="1">
        <v>3576670</v>
      </c>
      <c r="E316" s="1">
        <f>_xlfn.XLOOKUP($C316,'Plaza SP Tar'!$C:$C,'Plaza SP Tar'!E:E)</f>
        <v>3904049.7796876286</v>
      </c>
      <c r="F316" s="1">
        <v>10000</v>
      </c>
      <c r="G316" s="1">
        <f>_xlfn.XLOOKUP($C316,'Plaza SP Tar'!$C:$C,'Plaza SP Tar'!F:F)</f>
        <v>4461771.1767858611</v>
      </c>
      <c r="H316" s="1">
        <v>18000</v>
      </c>
      <c r="I316" s="1">
        <f>_xlfn.XLOOKUP($C316,'Plaza SP Tar'!$C:$C,'Plaza SP Tar'!G:G)</f>
        <v>4907948.2944644466</v>
      </c>
      <c r="J316" s="1">
        <v>25000</v>
      </c>
      <c r="K316" s="1">
        <f>_xlfn.XLOOKUP($C316,'Plaza SP Tar'!$C:$C,'Plaza SP Tar'!H:H)</f>
        <v>5354125.412143033</v>
      </c>
      <c r="L316" s="1">
        <v>30000</v>
      </c>
      <c r="M316" s="1">
        <f>_xlfn.XLOOKUP($C316,'Plaza SP Tar'!$C:$C,'Plaza SP Tar'!I:I)</f>
        <v>5800302.5298216194</v>
      </c>
      <c r="N316" s="1">
        <v>40000</v>
      </c>
      <c r="O316" s="1">
        <f>_xlfn.XLOOKUP($C316,'Plaza SP Tar'!$C:$C,'Plaza SP Tar'!J:J)</f>
        <v>6246479.6475002049</v>
      </c>
      <c r="P316" s="1">
        <v>45000</v>
      </c>
      <c r="Q316" s="1">
        <f>_xlfn.XLOOKUP($C316,'Plaza SP Tar'!$C:$C,'Plaza SP Tar'!K:K)</f>
        <v>6692656.7651787912</v>
      </c>
      <c r="R316">
        <v>50000</v>
      </c>
    </row>
    <row r="317" spans="1:18" x14ac:dyDescent="0.25">
      <c r="A317" t="s">
        <v>304</v>
      </c>
      <c r="B317" t="s">
        <v>338</v>
      </c>
      <c r="C317" t="s">
        <v>345</v>
      </c>
      <c r="D317" s="1">
        <v>3800600</v>
      </c>
      <c r="E317" s="1">
        <f>_xlfn.XLOOKUP($C317,'Plaza SP Tar'!$C:$C,'Plaza SP Tar'!E:E)</f>
        <v>4148476.5417779107</v>
      </c>
      <c r="F317" s="1">
        <v>10000</v>
      </c>
      <c r="G317" s="1">
        <f>_xlfn.XLOOKUP($C317,'Plaza SP Tar'!$C:$C,'Plaza SP Tar'!F:F)</f>
        <v>4741116.0477461834</v>
      </c>
      <c r="H317" s="1">
        <v>18000</v>
      </c>
      <c r="I317" s="1">
        <f>_xlfn.XLOOKUP($C317,'Plaza SP Tar'!$C:$C,'Plaza SP Tar'!G:G)</f>
        <v>5215227.6525208019</v>
      </c>
      <c r="J317" s="1">
        <v>25000</v>
      </c>
      <c r="K317" s="1">
        <f>_xlfn.XLOOKUP($C317,'Plaza SP Tar'!$C:$C,'Plaza SP Tar'!H:H)</f>
        <v>5689339.2572954204</v>
      </c>
      <c r="L317" s="1">
        <v>30000</v>
      </c>
      <c r="M317" s="1">
        <f>_xlfn.XLOOKUP($C317,'Plaza SP Tar'!$C:$C,'Plaza SP Tar'!I:I)</f>
        <v>6163450.8620700389</v>
      </c>
      <c r="N317" s="1">
        <v>40000</v>
      </c>
      <c r="O317" s="1">
        <f>_xlfn.XLOOKUP($C317,'Plaza SP Tar'!$C:$C,'Plaza SP Tar'!J:J)</f>
        <v>6637562.4668446565</v>
      </c>
      <c r="P317" s="1">
        <v>45000</v>
      </c>
      <c r="Q317" s="1">
        <f>_xlfn.XLOOKUP($C317,'Plaza SP Tar'!$C:$C,'Plaza SP Tar'!K:K)</f>
        <v>7111674.071619275</v>
      </c>
      <c r="R317">
        <v>50000</v>
      </c>
    </row>
    <row r="318" spans="1:18" x14ac:dyDescent="0.25">
      <c r="A318" t="s">
        <v>304</v>
      </c>
      <c r="B318" t="s">
        <v>338</v>
      </c>
      <c r="C318" t="s">
        <v>346</v>
      </c>
      <c r="D318" s="1">
        <v>9253944</v>
      </c>
      <c r="E318" s="1">
        <f>_xlfn.XLOOKUP($C318,'Plaza SP Tar'!$C:$C,'Plaza SP Tar'!E:E)</f>
        <v>10100976.057182143</v>
      </c>
      <c r="F318" s="1">
        <v>10000</v>
      </c>
      <c r="G318" s="1">
        <f>_xlfn.XLOOKUP($C318,'Plaza SP Tar'!$C:$C,'Plaza SP Tar'!F:F)</f>
        <v>11543972.63677959</v>
      </c>
      <c r="H318" s="1">
        <v>18000</v>
      </c>
      <c r="I318" s="1">
        <f>_xlfn.XLOOKUP($C318,'Plaza SP Tar'!$C:$C,'Plaza SP Tar'!G:G)</f>
        <v>12698369.900457548</v>
      </c>
      <c r="J318" s="1">
        <v>25000</v>
      </c>
      <c r="K318" s="1">
        <f>_xlfn.XLOOKUP($C318,'Plaza SP Tar'!$C:$C,'Plaza SP Tar'!H:H)</f>
        <v>13852767.164135508</v>
      </c>
      <c r="L318" s="1">
        <v>30000</v>
      </c>
      <c r="M318" s="1">
        <f>_xlfn.XLOOKUP($C318,'Plaza SP Tar'!$C:$C,'Plaza SP Tar'!I:I)</f>
        <v>15007164.427813467</v>
      </c>
      <c r="N318" s="1">
        <v>40000</v>
      </c>
      <c r="O318" s="1">
        <f>_xlfn.XLOOKUP($C318,'Plaza SP Tar'!$C:$C,'Plaza SP Tar'!J:J)</f>
        <v>16161561.691491425</v>
      </c>
      <c r="P318" s="1">
        <v>45000</v>
      </c>
      <c r="Q318" s="1">
        <f>_xlfn.XLOOKUP($C318,'Plaza SP Tar'!$C:$C,'Plaza SP Tar'!K:K)</f>
        <v>17315958.955169383</v>
      </c>
      <c r="R318">
        <v>50000</v>
      </c>
    </row>
    <row r="319" spans="1:18" x14ac:dyDescent="0.25">
      <c r="A319" t="s">
        <v>304</v>
      </c>
      <c r="B319" t="s">
        <v>338</v>
      </c>
      <c r="C319" t="s">
        <v>347</v>
      </c>
      <c r="D319" s="1">
        <v>4001290</v>
      </c>
      <c r="E319" s="1">
        <f>_xlfn.XLOOKUP($C319,'Plaza SP Tar'!$C:$C,'Plaza SP Tar'!E:E)</f>
        <v>4367536.1000501337</v>
      </c>
      <c r="F319" s="1">
        <v>10000</v>
      </c>
      <c r="G319" s="1">
        <f>_xlfn.XLOOKUP($C319,'Plaza SP Tar'!$C:$C,'Plaza SP Tar'!F:F)</f>
        <v>4991469.8286287235</v>
      </c>
      <c r="H319" s="1">
        <v>18000</v>
      </c>
      <c r="I319" s="1">
        <f>_xlfn.XLOOKUP($C319,'Plaza SP Tar'!$C:$C,'Plaza SP Tar'!G:G)</f>
        <v>5490616.8114915956</v>
      </c>
      <c r="J319" s="1">
        <v>25000</v>
      </c>
      <c r="K319" s="1">
        <f>_xlfn.XLOOKUP($C319,'Plaza SP Tar'!$C:$C,'Plaza SP Tar'!H:H)</f>
        <v>5989763.7943544686</v>
      </c>
      <c r="L319" s="1">
        <v>30000</v>
      </c>
      <c r="M319" s="1">
        <f>_xlfn.XLOOKUP($C319,'Plaza SP Tar'!$C:$C,'Plaza SP Tar'!I:I)</f>
        <v>6488910.7772173407</v>
      </c>
      <c r="N319" s="1">
        <v>40000</v>
      </c>
      <c r="O319" s="1">
        <f>_xlfn.XLOOKUP($C319,'Plaza SP Tar'!$C:$C,'Plaza SP Tar'!J:J)</f>
        <v>6988057.7600802127</v>
      </c>
      <c r="P319" s="1">
        <v>45000</v>
      </c>
      <c r="Q319" s="1">
        <f>_xlfn.XLOOKUP($C319,'Plaza SP Tar'!$C:$C,'Plaza SP Tar'!K:K)</f>
        <v>7487204.7429430848</v>
      </c>
      <c r="R319">
        <v>50000</v>
      </c>
    </row>
    <row r="320" spans="1:18" x14ac:dyDescent="0.25">
      <c r="A320" t="s">
        <v>304</v>
      </c>
      <c r="B320" t="s">
        <v>338</v>
      </c>
      <c r="C320" t="s">
        <v>348</v>
      </c>
      <c r="D320" s="1">
        <v>5985955</v>
      </c>
      <c r="E320" s="1">
        <f>_xlfn.XLOOKUP($C320,'Plaza SP Tar'!$C:$C,'Plaza SP Tar'!E:E)</f>
        <v>6533861.4686202686</v>
      </c>
      <c r="F320" s="1">
        <v>10000</v>
      </c>
      <c r="G320" s="1">
        <f>_xlfn.XLOOKUP($C320,'Plaza SP Tar'!$C:$C,'Plaza SP Tar'!F:F)</f>
        <v>7467270.2498517362</v>
      </c>
      <c r="H320" s="1">
        <v>18000</v>
      </c>
      <c r="I320" s="1">
        <f>_xlfn.XLOOKUP($C320,'Plaza SP Tar'!$C:$C,'Plaza SP Tar'!G:G)</f>
        <v>8213997.2748369081</v>
      </c>
      <c r="J320" s="1">
        <v>25000</v>
      </c>
      <c r="K320" s="1">
        <f>_xlfn.XLOOKUP($C320,'Plaza SP Tar'!$C:$C,'Plaza SP Tar'!H:H)</f>
        <v>8960724.2998220827</v>
      </c>
      <c r="L320" s="1">
        <v>30000</v>
      </c>
      <c r="M320" s="1">
        <f>_xlfn.XLOOKUP($C320,'Plaza SP Tar'!$C:$C,'Plaza SP Tar'!I:I)</f>
        <v>9707451.3248072565</v>
      </c>
      <c r="N320" s="1">
        <v>40000</v>
      </c>
      <c r="O320" s="1">
        <f>_xlfn.XLOOKUP($C320,'Plaza SP Tar'!$C:$C,'Plaza SP Tar'!J:J)</f>
        <v>10454178.349792428</v>
      </c>
      <c r="P320" s="1">
        <v>45000</v>
      </c>
      <c r="Q320" s="1">
        <f>_xlfn.XLOOKUP($C320,'Plaza SP Tar'!$C:$C,'Plaza SP Tar'!K:K)</f>
        <v>11200905.374777604</v>
      </c>
      <c r="R320">
        <v>50000</v>
      </c>
    </row>
    <row r="321" spans="1:18" x14ac:dyDescent="0.25">
      <c r="A321" t="s">
        <v>304</v>
      </c>
      <c r="B321" t="s">
        <v>338</v>
      </c>
      <c r="C321" t="s">
        <v>349</v>
      </c>
      <c r="D321" s="1">
        <v>3256872</v>
      </c>
      <c r="E321" s="1">
        <f>_xlfn.XLOOKUP($C321,'Plaza SP Tar'!$C:$C,'Plaza SP Tar'!E:E)</f>
        <v>3554980.0272518308</v>
      </c>
      <c r="F321" s="1">
        <v>10000</v>
      </c>
      <c r="G321" s="1">
        <f>_xlfn.XLOOKUP($C321,'Plaza SP Tar'!$C:$C,'Plaza SP Tar'!F:F)</f>
        <v>4062834.3168592351</v>
      </c>
      <c r="H321" s="1">
        <v>18000</v>
      </c>
      <c r="I321" s="1">
        <f>_xlfn.XLOOKUP($C321,'Plaza SP Tar'!$C:$C,'Plaza SP Tar'!G:G)</f>
        <v>4469117.7485451577</v>
      </c>
      <c r="J321" s="1">
        <v>25000</v>
      </c>
      <c r="K321" s="1">
        <f>_xlfn.XLOOKUP($C321,'Plaza SP Tar'!$C:$C,'Plaza SP Tar'!H:H)</f>
        <v>4875401.1802310823</v>
      </c>
      <c r="L321" s="1">
        <v>30000</v>
      </c>
      <c r="M321" s="1">
        <f>_xlfn.XLOOKUP($C321,'Plaza SP Tar'!$C:$C,'Plaza SP Tar'!I:I)</f>
        <v>5281684.6119170059</v>
      </c>
      <c r="N321" s="1">
        <v>40000</v>
      </c>
      <c r="O321" s="1">
        <f>_xlfn.XLOOKUP($C321,'Plaza SP Tar'!$C:$C,'Plaza SP Tar'!J:J)</f>
        <v>5687968.0436029285</v>
      </c>
      <c r="P321" s="1">
        <v>45000</v>
      </c>
      <c r="Q321" s="1">
        <f>_xlfn.XLOOKUP($C321,'Plaza SP Tar'!$C:$C,'Plaza SP Tar'!K:K)</f>
        <v>6094251.4752888521</v>
      </c>
      <c r="R321">
        <v>50000</v>
      </c>
    </row>
    <row r="322" spans="1:18" x14ac:dyDescent="0.25">
      <c r="A322" t="s">
        <v>304</v>
      </c>
      <c r="B322" t="s">
        <v>338</v>
      </c>
      <c r="C322" t="s">
        <v>350</v>
      </c>
      <c r="D322" s="1">
        <v>2150215</v>
      </c>
      <c r="E322" s="1">
        <f>_xlfn.XLOOKUP($C322,'Plaza SP Tar'!$C:$C,'Plaza SP Tar'!E:E)</f>
        <v>2347028.492153605</v>
      </c>
      <c r="F322" s="1">
        <v>10000</v>
      </c>
      <c r="G322" s="1">
        <f>_xlfn.XLOOKUP($C322,'Plaza SP Tar'!$C:$C,'Plaza SP Tar'!F:F)</f>
        <v>2682318.2767469771</v>
      </c>
      <c r="H322" s="1">
        <v>18000</v>
      </c>
      <c r="I322" s="1">
        <f>_xlfn.XLOOKUP($C322,'Plaza SP Tar'!$C:$C,'Plaza SP Tar'!G:G)</f>
        <v>2950550.1044216743</v>
      </c>
      <c r="J322" s="1">
        <v>25000</v>
      </c>
      <c r="K322" s="1">
        <f>_xlfn.XLOOKUP($C322,'Plaza SP Tar'!$C:$C,'Plaza SP Tar'!H:H)</f>
        <v>3218781.9320963719</v>
      </c>
      <c r="L322" s="1">
        <v>30000</v>
      </c>
      <c r="M322" s="1">
        <f>_xlfn.XLOOKUP($C322,'Plaza SP Tar'!$C:$C,'Plaza SP Tar'!I:I)</f>
        <v>3487013.75977107</v>
      </c>
      <c r="N322" s="1">
        <v>40000</v>
      </c>
      <c r="O322" s="1">
        <f>_xlfn.XLOOKUP($C322,'Plaza SP Tar'!$C:$C,'Plaza SP Tar'!J:J)</f>
        <v>3755245.5874457671</v>
      </c>
      <c r="P322" s="1">
        <v>45000</v>
      </c>
      <c r="Q322" s="1">
        <f>_xlfn.XLOOKUP($C322,'Plaza SP Tar'!$C:$C,'Plaza SP Tar'!K:K)</f>
        <v>4023477.4151204652</v>
      </c>
      <c r="R322">
        <v>50000</v>
      </c>
    </row>
    <row r="323" spans="1:18" x14ac:dyDescent="0.25">
      <c r="A323" t="s">
        <v>304</v>
      </c>
      <c r="B323" t="s">
        <v>338</v>
      </c>
      <c r="C323" t="s">
        <v>351</v>
      </c>
      <c r="D323" s="1">
        <v>9600092</v>
      </c>
      <c r="E323" s="1">
        <f>_xlfn.XLOOKUP($C323,'Plaza SP Tar'!$C:$C,'Plaza SP Tar'!E:E)</f>
        <v>10478807.677974474</v>
      </c>
      <c r="F323" s="1">
        <v>10000</v>
      </c>
      <c r="G323" s="1">
        <f>_xlfn.XLOOKUP($C323,'Plaza SP Tar'!$C:$C,'Plaza SP Tar'!F:F)</f>
        <v>11975780.203399399</v>
      </c>
      <c r="H323" s="1">
        <v>18000</v>
      </c>
      <c r="I323" s="1">
        <f>_xlfn.XLOOKUP($C323,'Plaza SP Tar'!$C:$C,'Plaza SP Tar'!G:G)</f>
        <v>13173358.223739337</v>
      </c>
      <c r="J323" s="1">
        <v>25000</v>
      </c>
      <c r="K323" s="1">
        <f>_xlfn.XLOOKUP($C323,'Plaza SP Tar'!$C:$C,'Plaza SP Tar'!H:H)</f>
        <v>14370936.244079279</v>
      </c>
      <c r="L323" s="1">
        <v>30000</v>
      </c>
      <c r="M323" s="1">
        <f>_xlfn.XLOOKUP($C323,'Plaza SP Tar'!$C:$C,'Plaza SP Tar'!I:I)</f>
        <v>15568514.264419219</v>
      </c>
      <c r="N323" s="1">
        <v>40000</v>
      </c>
      <c r="O323" s="1">
        <f>_xlfn.XLOOKUP($C323,'Plaza SP Tar'!$C:$C,'Plaza SP Tar'!J:J)</f>
        <v>16766092.284759156</v>
      </c>
      <c r="P323" s="1">
        <v>45000</v>
      </c>
      <c r="Q323" s="1">
        <f>_xlfn.XLOOKUP($C323,'Plaza SP Tar'!$C:$C,'Plaza SP Tar'!K:K)</f>
        <v>17963670.305099096</v>
      </c>
      <c r="R323">
        <v>50000</v>
      </c>
    </row>
    <row r="324" spans="1:18" x14ac:dyDescent="0.25">
      <c r="A324" t="s">
        <v>304</v>
      </c>
      <c r="B324" t="s">
        <v>338</v>
      </c>
      <c r="C324" t="s">
        <v>352</v>
      </c>
      <c r="D324" s="1">
        <v>3549007</v>
      </c>
      <c r="E324" s="1">
        <f>_xlfn.XLOOKUP($C324,'Plaza SP Tar'!$C:$C,'Plaza SP Tar'!E:E)</f>
        <v>3873854.729807293</v>
      </c>
      <c r="F324" s="1">
        <v>10000</v>
      </c>
      <c r="G324" s="1">
        <f>_xlfn.XLOOKUP($C324,'Plaza SP Tar'!$C:$C,'Plaza SP Tar'!F:F)</f>
        <v>4427262.5483511919</v>
      </c>
      <c r="H324" s="1">
        <v>18000</v>
      </c>
      <c r="I324" s="1">
        <f>_xlfn.XLOOKUP($C324,'Plaza SP Tar'!$C:$C,'Plaza SP Tar'!G:G)</f>
        <v>4869988.8031863105</v>
      </c>
      <c r="J324" s="1">
        <v>25000</v>
      </c>
      <c r="K324" s="1">
        <f>_xlfn.XLOOKUP($C324,'Plaza SP Tar'!$C:$C,'Plaza SP Tar'!H:H)</f>
        <v>5312715.0580214299</v>
      </c>
      <c r="L324" s="1">
        <v>30000</v>
      </c>
      <c r="M324" s="1">
        <f>_xlfn.XLOOKUP($C324,'Plaza SP Tar'!$C:$C,'Plaza SP Tar'!I:I)</f>
        <v>5755441.3128565494</v>
      </c>
      <c r="N324" s="1">
        <v>40000</v>
      </c>
      <c r="O324" s="1">
        <f>_xlfn.XLOOKUP($C324,'Plaza SP Tar'!$C:$C,'Plaza SP Tar'!J:J)</f>
        <v>6198167.5676916679</v>
      </c>
      <c r="P324" s="1">
        <v>45000</v>
      </c>
      <c r="Q324" s="1">
        <f>_xlfn.XLOOKUP($C324,'Plaza SP Tar'!$C:$C,'Plaza SP Tar'!K:K)</f>
        <v>6640893.8225267874</v>
      </c>
      <c r="R324">
        <v>50000</v>
      </c>
    </row>
    <row r="325" spans="1:18" x14ac:dyDescent="0.25">
      <c r="A325" t="s">
        <v>304</v>
      </c>
      <c r="B325" t="s">
        <v>338</v>
      </c>
      <c r="C325" t="s">
        <v>353</v>
      </c>
      <c r="D325" s="1">
        <v>3277832</v>
      </c>
      <c r="E325" s="1">
        <f>_xlfn.XLOOKUP($C325,'Plaza SP Tar'!$C:$C,'Plaza SP Tar'!E:E)</f>
        <v>3577858.538096346</v>
      </c>
      <c r="F325" s="1">
        <v>10000</v>
      </c>
      <c r="G325" s="1">
        <f>_xlfn.XLOOKUP($C325,'Plaza SP Tar'!$C:$C,'Plaza SP Tar'!F:F)</f>
        <v>4088981.186395824</v>
      </c>
      <c r="H325" s="1">
        <v>18000</v>
      </c>
      <c r="I325" s="1">
        <f>_xlfn.XLOOKUP($C325,'Plaza SP Tar'!$C:$C,'Plaza SP Tar'!G:G)</f>
        <v>4497879.3050354058</v>
      </c>
      <c r="J325" s="1">
        <v>25000</v>
      </c>
      <c r="K325" s="1">
        <f>_xlfn.XLOOKUP($C325,'Plaza SP Tar'!$C:$C,'Plaza SP Tar'!H:H)</f>
        <v>4906777.4236749886</v>
      </c>
      <c r="L325" s="1">
        <v>30000</v>
      </c>
      <c r="M325" s="1">
        <f>_xlfn.XLOOKUP($C325,'Plaza SP Tar'!$C:$C,'Plaza SP Tar'!I:I)</f>
        <v>5315675.5423145713</v>
      </c>
      <c r="N325" s="1">
        <v>40000</v>
      </c>
      <c r="O325" s="1">
        <f>_xlfn.XLOOKUP($C325,'Plaza SP Tar'!$C:$C,'Plaza SP Tar'!J:J)</f>
        <v>5724573.6609541532</v>
      </c>
      <c r="P325" s="1">
        <v>45000</v>
      </c>
      <c r="Q325" s="1">
        <f>_xlfn.XLOOKUP($C325,'Plaza SP Tar'!$C:$C,'Plaza SP Tar'!K:K)</f>
        <v>6133471.7795937359</v>
      </c>
      <c r="R325">
        <v>50000</v>
      </c>
    </row>
    <row r="326" spans="1:18" x14ac:dyDescent="0.25">
      <c r="A326" t="s">
        <v>304</v>
      </c>
      <c r="B326" t="s">
        <v>338</v>
      </c>
      <c r="C326" t="s">
        <v>354</v>
      </c>
      <c r="D326" s="1">
        <v>2515116</v>
      </c>
      <c r="E326" s="1">
        <f>_xlfn.XLOOKUP($C326,'Plaza SP Tar'!$C:$C,'Plaza SP Tar'!E:E)</f>
        <v>2745329.6126533421</v>
      </c>
      <c r="F326" s="1">
        <v>10000</v>
      </c>
      <c r="G326" s="1">
        <f>_xlfn.XLOOKUP($C326,'Plaza SP Tar'!$C:$C,'Plaza SP Tar'!F:F)</f>
        <v>3137519.5573181054</v>
      </c>
      <c r="H326" s="1">
        <v>18000</v>
      </c>
      <c r="I326" s="1">
        <f>_xlfn.XLOOKUP($C326,'Plaza SP Tar'!$C:$C,'Plaza SP Tar'!G:G)</f>
        <v>3451271.5130499154</v>
      </c>
      <c r="J326" s="1">
        <v>25000</v>
      </c>
      <c r="K326" s="1">
        <f>_xlfn.XLOOKUP($C326,'Plaza SP Tar'!$C:$C,'Plaza SP Tar'!H:H)</f>
        <v>3765023.468781726</v>
      </c>
      <c r="L326" s="1">
        <v>30000</v>
      </c>
      <c r="M326" s="1">
        <f>_xlfn.XLOOKUP($C326,'Plaza SP Tar'!$C:$C,'Plaza SP Tar'!I:I)</f>
        <v>4078775.4245135365</v>
      </c>
      <c r="N326" s="1">
        <v>40000</v>
      </c>
      <c r="O326" s="1">
        <f>_xlfn.XLOOKUP($C326,'Plaza SP Tar'!$C:$C,'Plaza SP Tar'!J:J)</f>
        <v>4392527.3802453466</v>
      </c>
      <c r="P326" s="1">
        <v>45000</v>
      </c>
      <c r="Q326" s="1">
        <f>_xlfn.XLOOKUP($C326,'Plaza SP Tar'!$C:$C,'Plaza SP Tar'!K:K)</f>
        <v>4706279.3359771576</v>
      </c>
      <c r="R326">
        <v>50000</v>
      </c>
    </row>
    <row r="327" spans="1:18" x14ac:dyDescent="0.25">
      <c r="A327" t="s">
        <v>304</v>
      </c>
      <c r="B327" t="s">
        <v>355</v>
      </c>
      <c r="C327" t="s">
        <v>356</v>
      </c>
      <c r="D327" s="1">
        <v>3211338</v>
      </c>
      <c r="E327" s="1">
        <f>_xlfn.XLOOKUP($C327,'Plaza SP Tar'!$C:$C,'Plaza SP Tar'!E:E)</f>
        <v>3505278.2088933308</v>
      </c>
      <c r="F327" s="1">
        <v>10000</v>
      </c>
      <c r="G327" s="1">
        <f>_xlfn.XLOOKUP($C327,'Plaza SP Tar'!$C:$C,'Plaza SP Tar'!F:F)</f>
        <v>4006032.2387352348</v>
      </c>
      <c r="H327" s="1">
        <v>18000</v>
      </c>
      <c r="I327" s="1">
        <f>_xlfn.XLOOKUP($C327,'Plaza SP Tar'!$C:$C,'Plaza SP Tar'!G:G)</f>
        <v>4406635.4626087584</v>
      </c>
      <c r="J327" s="1">
        <v>25000</v>
      </c>
      <c r="K327" s="1">
        <f>_xlfn.XLOOKUP($C327,'Plaza SP Tar'!$C:$C,'Plaza SP Tar'!H:H)</f>
        <v>4807238.6864822814</v>
      </c>
      <c r="L327" s="1">
        <v>30000</v>
      </c>
      <c r="M327" s="1">
        <f>_xlfn.XLOOKUP($C327,'Plaza SP Tar'!$C:$C,'Plaza SP Tar'!I:I)</f>
        <v>5207841.9103558054</v>
      </c>
      <c r="N327" s="1">
        <v>40000</v>
      </c>
      <c r="O327" s="1">
        <f>_xlfn.XLOOKUP($C327,'Plaza SP Tar'!$C:$C,'Plaza SP Tar'!J:J)</f>
        <v>5608445.1342293285</v>
      </c>
      <c r="P327" s="1">
        <v>45000</v>
      </c>
      <c r="Q327" s="1">
        <f>_xlfn.XLOOKUP($C327,'Plaza SP Tar'!$C:$C,'Plaza SP Tar'!K:K)</f>
        <v>6009048.3581028525</v>
      </c>
      <c r="R327">
        <v>50000</v>
      </c>
    </row>
    <row r="328" spans="1:18" x14ac:dyDescent="0.25">
      <c r="A328" t="s">
        <v>304</v>
      </c>
      <c r="B328" t="s">
        <v>355</v>
      </c>
      <c r="C328" t="s">
        <v>357</v>
      </c>
      <c r="D328" s="1">
        <v>11695886</v>
      </c>
      <c r="E328" s="1">
        <f>_xlfn.XLOOKUP($C328,'Plaza SP Tar'!$C:$C,'Plaza SP Tar'!E:E)</f>
        <v>12766433.906832784</v>
      </c>
      <c r="F328" s="1">
        <v>10000</v>
      </c>
      <c r="G328" s="1">
        <f>_xlfn.XLOOKUP($C328,'Plaza SP Tar'!$C:$C,'Plaza SP Tar'!F:F)</f>
        <v>14590210.179237468</v>
      </c>
      <c r="H328" s="1">
        <v>18000</v>
      </c>
      <c r="I328" s="1">
        <f>_xlfn.XLOOKUP($C328,'Plaza SP Tar'!$C:$C,'Plaza SP Tar'!G:G)</f>
        <v>16049231.197161213</v>
      </c>
      <c r="J328" s="1">
        <v>25000</v>
      </c>
      <c r="K328" s="1">
        <f>_xlfn.XLOOKUP($C328,'Plaza SP Tar'!$C:$C,'Plaza SP Tar'!H:H)</f>
        <v>17508252.215084963</v>
      </c>
      <c r="L328" s="1">
        <v>30000</v>
      </c>
      <c r="M328" s="1">
        <f>_xlfn.XLOOKUP($C328,'Plaza SP Tar'!$C:$C,'Plaza SP Tar'!I:I)</f>
        <v>18967273.233008709</v>
      </c>
      <c r="N328" s="1">
        <v>40000</v>
      </c>
      <c r="O328" s="1">
        <f>_xlfn.XLOOKUP($C328,'Plaza SP Tar'!$C:$C,'Plaza SP Tar'!J:J)</f>
        <v>20426294.250932455</v>
      </c>
      <c r="P328" s="1">
        <v>45000</v>
      </c>
      <c r="Q328" s="1">
        <f>_xlfn.XLOOKUP($C328,'Plaza SP Tar'!$C:$C,'Plaza SP Tar'!K:K)</f>
        <v>21885315.268856201</v>
      </c>
      <c r="R328">
        <v>50000</v>
      </c>
    </row>
    <row r="329" spans="1:18" x14ac:dyDescent="0.25">
      <c r="A329" t="s">
        <v>304</v>
      </c>
      <c r="B329" t="s">
        <v>355</v>
      </c>
      <c r="C329" t="s">
        <v>358</v>
      </c>
      <c r="D329" s="1">
        <v>4661614</v>
      </c>
      <c r="E329" s="1">
        <f>_xlfn.XLOOKUP($C329,'Plaza SP Tar'!$C:$C,'Plaza SP Tar'!E:E)</f>
        <v>5088300.8803408658</v>
      </c>
      <c r="F329" s="1">
        <v>10000</v>
      </c>
      <c r="G329" s="1">
        <f>_xlfn.XLOOKUP($C329,'Plaza SP Tar'!$C:$C,'Plaza SP Tar'!F:F)</f>
        <v>5815201.0061038462</v>
      </c>
      <c r="H329" s="1">
        <v>18000</v>
      </c>
      <c r="I329" s="1">
        <f>_xlfn.XLOOKUP($C329,'Plaza SP Tar'!$C:$C,'Plaza SP Tar'!G:G)</f>
        <v>6396721.10671423</v>
      </c>
      <c r="J329" s="1">
        <v>25000</v>
      </c>
      <c r="K329" s="1">
        <f>_xlfn.XLOOKUP($C329,'Plaza SP Tar'!$C:$C,'Plaza SP Tar'!H:H)</f>
        <v>6978241.2073246157</v>
      </c>
      <c r="L329" s="1">
        <v>30000</v>
      </c>
      <c r="M329" s="1">
        <f>_xlfn.XLOOKUP($C329,'Plaza SP Tar'!$C:$C,'Plaza SP Tar'!I:I)</f>
        <v>7559761.3079350004</v>
      </c>
      <c r="N329" s="1">
        <v>40000</v>
      </c>
      <c r="O329" s="1">
        <f>_xlfn.XLOOKUP($C329,'Plaza SP Tar'!$C:$C,'Plaza SP Tar'!J:J)</f>
        <v>8141281.4085453842</v>
      </c>
      <c r="P329" s="1">
        <v>45000</v>
      </c>
      <c r="Q329" s="1">
        <f>_xlfn.XLOOKUP($C329,'Plaza SP Tar'!$C:$C,'Plaza SP Tar'!K:K)</f>
        <v>8722801.5091557689</v>
      </c>
      <c r="R329">
        <v>50000</v>
      </c>
    </row>
    <row r="330" spans="1:18" x14ac:dyDescent="0.25">
      <c r="A330" t="s">
        <v>304</v>
      </c>
      <c r="B330" t="s">
        <v>355</v>
      </c>
      <c r="C330" t="s">
        <v>359</v>
      </c>
      <c r="D330" s="1">
        <v>2321597</v>
      </c>
      <c r="E330" s="1">
        <f>_xlfn.XLOOKUP($C330,'Plaza SP Tar'!$C:$C,'Plaza SP Tar'!E:E)</f>
        <v>2534097.4303957196</v>
      </c>
      <c r="F330" s="1">
        <v>10000</v>
      </c>
      <c r="G330" s="1">
        <f>_xlfn.XLOOKUP($C330,'Plaza SP Tar'!$C:$C,'Plaza SP Tar'!F:F)</f>
        <v>2896111.3490236797</v>
      </c>
      <c r="H330" s="1">
        <v>18000</v>
      </c>
      <c r="I330" s="1">
        <f>_xlfn.XLOOKUP($C330,'Plaza SP Tar'!$C:$C,'Plaza SP Tar'!G:G)</f>
        <v>3185722.4839260471</v>
      </c>
      <c r="J330" s="1">
        <v>25000</v>
      </c>
      <c r="K330" s="1">
        <f>_xlfn.XLOOKUP($C330,'Plaza SP Tar'!$C:$C,'Plaza SP Tar'!H:H)</f>
        <v>3475333.6188284154</v>
      </c>
      <c r="L330" s="1">
        <v>30000</v>
      </c>
      <c r="M330" s="1">
        <f>_xlfn.XLOOKUP($C330,'Plaza SP Tar'!$C:$C,'Plaza SP Tar'!I:I)</f>
        <v>3764944.7537307837</v>
      </c>
      <c r="N330" s="1">
        <v>40000</v>
      </c>
      <c r="O330" s="1">
        <f>_xlfn.XLOOKUP($C330,'Plaza SP Tar'!$C:$C,'Plaza SP Tar'!J:J)</f>
        <v>4054555.8886331511</v>
      </c>
      <c r="P330" s="1">
        <v>45000</v>
      </c>
      <c r="Q330" s="1">
        <f>_xlfn.XLOOKUP($C330,'Plaza SP Tar'!$C:$C,'Plaza SP Tar'!K:K)</f>
        <v>4344167.0235355189</v>
      </c>
      <c r="R330">
        <v>50000</v>
      </c>
    </row>
    <row r="331" spans="1:18" x14ac:dyDescent="0.25">
      <c r="A331" t="s">
        <v>304</v>
      </c>
      <c r="B331" t="s">
        <v>355</v>
      </c>
      <c r="C331" t="s">
        <v>360</v>
      </c>
      <c r="D331" s="1">
        <v>2854777</v>
      </c>
      <c r="E331" s="1">
        <f>_xlfn.XLOOKUP($C331,'Plaza SP Tar'!$C:$C,'Plaza SP Tar'!E:E)</f>
        <v>3116080.4653231381</v>
      </c>
      <c r="F331" s="1">
        <v>10000</v>
      </c>
      <c r="G331" s="1">
        <f>_xlfn.XLOOKUP($C331,'Plaza SP Tar'!$C:$C,'Plaza SP Tar'!F:F)</f>
        <v>3561234.8175121578</v>
      </c>
      <c r="H331" s="1">
        <v>18000</v>
      </c>
      <c r="I331" s="1">
        <f>_xlfn.XLOOKUP($C331,'Plaza SP Tar'!$C:$C,'Plaza SP Tar'!G:G)</f>
        <v>3917358.299263373</v>
      </c>
      <c r="J331" s="1">
        <v>25000</v>
      </c>
      <c r="K331" s="1">
        <f>_xlfn.XLOOKUP($C331,'Plaza SP Tar'!$C:$C,'Plaza SP Tar'!H:H)</f>
        <v>4273481.7810145896</v>
      </c>
      <c r="L331" s="1">
        <v>30000</v>
      </c>
      <c r="M331" s="1">
        <f>_xlfn.XLOOKUP($C331,'Plaza SP Tar'!$C:$C,'Plaza SP Tar'!I:I)</f>
        <v>4629605.2627658052</v>
      </c>
      <c r="N331" s="1">
        <v>40000</v>
      </c>
      <c r="O331" s="1">
        <f>_xlfn.XLOOKUP($C331,'Plaza SP Tar'!$C:$C,'Plaza SP Tar'!J:J)</f>
        <v>4985728.7445170209</v>
      </c>
      <c r="P331" s="1">
        <v>45000</v>
      </c>
      <c r="Q331" s="1">
        <f>_xlfn.XLOOKUP($C331,'Plaza SP Tar'!$C:$C,'Plaza SP Tar'!K:K)</f>
        <v>5341852.2262682365</v>
      </c>
      <c r="R331">
        <v>50000</v>
      </c>
    </row>
    <row r="332" spans="1:18" x14ac:dyDescent="0.25">
      <c r="A332" t="s">
        <v>304</v>
      </c>
      <c r="B332" t="s">
        <v>355</v>
      </c>
      <c r="C332" t="s">
        <v>361</v>
      </c>
      <c r="D332" s="1">
        <v>3884037</v>
      </c>
      <c r="E332" s="1">
        <f>_xlfn.XLOOKUP($C332,'Plaza SP Tar'!$C:$C,'Plaza SP Tar'!E:E)</f>
        <v>4239550.6977575785</v>
      </c>
      <c r="F332" s="1">
        <v>10000</v>
      </c>
      <c r="G332" s="1">
        <f>_xlfn.XLOOKUP($C332,'Plaza SP Tar'!$C:$C,'Plaza SP Tar'!F:F)</f>
        <v>4845200.797437232</v>
      </c>
      <c r="H332" s="1">
        <v>18000</v>
      </c>
      <c r="I332" s="1">
        <f>_xlfn.XLOOKUP($C332,'Plaza SP Tar'!$C:$C,'Plaza SP Tar'!G:G)</f>
        <v>5329720.8771809544</v>
      </c>
      <c r="J332" s="1">
        <v>25000</v>
      </c>
      <c r="K332" s="1">
        <f>_xlfn.XLOOKUP($C332,'Plaza SP Tar'!$C:$C,'Plaza SP Tar'!H:H)</f>
        <v>5814240.9569246778</v>
      </c>
      <c r="L332" s="1">
        <v>30000</v>
      </c>
      <c r="M332" s="1">
        <f>_xlfn.XLOOKUP($C332,'Plaza SP Tar'!$C:$C,'Plaza SP Tar'!I:I)</f>
        <v>6298761.0366684012</v>
      </c>
      <c r="N332" s="1">
        <v>40000</v>
      </c>
      <c r="O332" s="1">
        <f>_xlfn.XLOOKUP($C332,'Plaza SP Tar'!$C:$C,'Plaza SP Tar'!J:J)</f>
        <v>6783281.1164121246</v>
      </c>
      <c r="P332" s="1">
        <v>45000</v>
      </c>
      <c r="Q332" s="1">
        <f>_xlfn.XLOOKUP($C332,'Plaza SP Tar'!$C:$C,'Plaza SP Tar'!K:K)</f>
        <v>7267801.196155848</v>
      </c>
      <c r="R332">
        <v>50000</v>
      </c>
    </row>
    <row r="333" spans="1:18" x14ac:dyDescent="0.25">
      <c r="A333" t="s">
        <v>304</v>
      </c>
      <c r="B333" t="s">
        <v>355</v>
      </c>
      <c r="C333" t="s">
        <v>362</v>
      </c>
      <c r="D333" s="1">
        <v>7182421</v>
      </c>
      <c r="E333" s="1">
        <f>_xlfn.XLOOKUP($C333,'Plaza SP Tar'!$C:$C,'Plaza SP Tar'!E:E)</f>
        <v>7839842.4016400157</v>
      </c>
      <c r="F333" s="1">
        <v>10000</v>
      </c>
      <c r="G333" s="1">
        <f>_xlfn.XLOOKUP($C333,'Plaza SP Tar'!$C:$C,'Plaza SP Tar'!F:F)</f>
        <v>8959819.8875885885</v>
      </c>
      <c r="H333" s="1">
        <v>18000</v>
      </c>
      <c r="I333" s="1">
        <f>_xlfn.XLOOKUP($C333,'Plaza SP Tar'!$C:$C,'Plaza SP Tar'!G:G)</f>
        <v>9855801.8763474468</v>
      </c>
      <c r="J333" s="1">
        <v>25000</v>
      </c>
      <c r="K333" s="1">
        <f>_xlfn.XLOOKUP($C333,'Plaza SP Tar'!$C:$C,'Plaza SP Tar'!H:H)</f>
        <v>10751783.865106307</v>
      </c>
      <c r="L333" s="1">
        <v>30000</v>
      </c>
      <c r="M333" s="1">
        <f>_xlfn.XLOOKUP($C333,'Plaza SP Tar'!$C:$C,'Plaza SP Tar'!I:I)</f>
        <v>11647765.853865165</v>
      </c>
      <c r="N333" s="1">
        <v>40000</v>
      </c>
      <c r="O333" s="1">
        <f>_xlfn.XLOOKUP($C333,'Plaza SP Tar'!$C:$C,'Plaza SP Tar'!J:J)</f>
        <v>12543747.842624024</v>
      </c>
      <c r="P333" s="1">
        <v>45000</v>
      </c>
      <c r="Q333" s="1">
        <f>_xlfn.XLOOKUP($C333,'Plaza SP Tar'!$C:$C,'Plaza SP Tar'!K:K)</f>
        <v>13439729.831382884</v>
      </c>
      <c r="R333">
        <v>50000</v>
      </c>
    </row>
    <row r="334" spans="1:18" x14ac:dyDescent="0.25">
      <c r="A334" t="s">
        <v>304</v>
      </c>
      <c r="B334" t="s">
        <v>355</v>
      </c>
      <c r="C334" t="s">
        <v>363</v>
      </c>
      <c r="D334" s="1">
        <v>3949279</v>
      </c>
      <c r="E334" s="1">
        <f>_xlfn.XLOOKUP($C334,'Plaza SP Tar'!$C:$C,'Plaza SP Tar'!E:E)</f>
        <v>4310764.4288891563</v>
      </c>
      <c r="F334" s="1">
        <v>10000</v>
      </c>
      <c r="G334" s="1">
        <f>_xlfn.XLOOKUP($C334,'Plaza SP Tar'!$C:$C,'Plaza SP Tar'!F:F)</f>
        <v>4926587.9187304638</v>
      </c>
      <c r="H334" s="1">
        <v>18000</v>
      </c>
      <c r="I334" s="1">
        <f>_xlfn.XLOOKUP($C334,'Plaza SP Tar'!$C:$C,'Plaza SP Tar'!G:G)</f>
        <v>5419246.71060351</v>
      </c>
      <c r="J334" s="1">
        <v>25000</v>
      </c>
      <c r="K334" s="1">
        <f>_xlfn.XLOOKUP($C334,'Plaza SP Tar'!$C:$C,'Plaza SP Tar'!H:H)</f>
        <v>5911905.5024765562</v>
      </c>
      <c r="L334" s="1">
        <v>30000</v>
      </c>
      <c r="M334" s="1">
        <f>_xlfn.XLOOKUP($C334,'Plaza SP Tar'!$C:$C,'Plaza SP Tar'!I:I)</f>
        <v>6404564.2943496024</v>
      </c>
      <c r="N334" s="1">
        <v>40000</v>
      </c>
      <c r="O334" s="1">
        <f>_xlfn.XLOOKUP($C334,'Plaza SP Tar'!$C:$C,'Plaza SP Tar'!J:J)</f>
        <v>6897223.0862226486</v>
      </c>
      <c r="P334" s="1">
        <v>45000</v>
      </c>
      <c r="Q334" s="1">
        <f>_xlfn.XLOOKUP($C334,'Plaza SP Tar'!$C:$C,'Plaza SP Tar'!K:K)</f>
        <v>7389881.8780956948</v>
      </c>
      <c r="R334">
        <v>50000</v>
      </c>
    </row>
    <row r="335" spans="1:18" x14ac:dyDescent="0.25">
      <c r="A335" t="s">
        <v>304</v>
      </c>
      <c r="B335" t="s">
        <v>355</v>
      </c>
      <c r="C335" t="s">
        <v>364</v>
      </c>
      <c r="D335" s="1">
        <v>4374552</v>
      </c>
      <c r="E335" s="1">
        <f>_xlfn.XLOOKUP($C335,'Plaza SP Tar'!$C:$C,'Plaza SP Tar'!E:E)</f>
        <v>4774963.5196515406</v>
      </c>
      <c r="F335" s="1">
        <v>10000</v>
      </c>
      <c r="G335" s="1">
        <f>_xlfn.XLOOKUP($C335,'Plaza SP Tar'!$C:$C,'Plaza SP Tar'!F:F)</f>
        <v>5457101.1653160462</v>
      </c>
      <c r="H335" s="1">
        <v>18000</v>
      </c>
      <c r="I335" s="1">
        <f>_xlfn.XLOOKUP($C335,'Plaza SP Tar'!$C:$C,'Plaza SP Tar'!G:G)</f>
        <v>6002811.2818476493</v>
      </c>
      <c r="J335" s="1">
        <v>25000</v>
      </c>
      <c r="K335" s="1">
        <f>_xlfn.XLOOKUP($C335,'Plaza SP Tar'!$C:$C,'Plaza SP Tar'!H:H)</f>
        <v>6548521.3983792542</v>
      </c>
      <c r="L335" s="1">
        <v>30000</v>
      </c>
      <c r="M335" s="1">
        <f>_xlfn.XLOOKUP($C335,'Plaza SP Tar'!$C:$C,'Plaza SP Tar'!I:I)</f>
        <v>7094231.5149108591</v>
      </c>
      <c r="N335" s="1">
        <v>40000</v>
      </c>
      <c r="O335" s="1">
        <f>_xlfn.XLOOKUP($C335,'Plaza SP Tar'!$C:$C,'Plaza SP Tar'!J:J)</f>
        <v>7639941.631442463</v>
      </c>
      <c r="P335" s="1">
        <v>45000</v>
      </c>
      <c r="Q335" s="1">
        <f>_xlfn.XLOOKUP($C335,'Plaza SP Tar'!$C:$C,'Plaza SP Tar'!K:K)</f>
        <v>8185651.7479740679</v>
      </c>
      <c r="R335">
        <v>50000</v>
      </c>
    </row>
    <row r="336" spans="1:18" x14ac:dyDescent="0.25">
      <c r="A336" t="s">
        <v>304</v>
      </c>
      <c r="B336" t="s">
        <v>355</v>
      </c>
      <c r="C336" t="s">
        <v>365</v>
      </c>
      <c r="D336" s="1">
        <v>3460772</v>
      </c>
      <c r="E336" s="1">
        <f>_xlfn.XLOOKUP($C336,'Plaza SP Tar'!$C:$C,'Plaza SP Tar'!E:E)</f>
        <v>3777543.4032631228</v>
      </c>
      <c r="F336" s="1">
        <v>10000</v>
      </c>
      <c r="G336" s="1">
        <f>_xlfn.XLOOKUP($C336,'Plaza SP Tar'!$C:$C,'Plaza SP Tar'!F:F)</f>
        <v>4317192.4608721398</v>
      </c>
      <c r="H336" s="1">
        <v>18000</v>
      </c>
      <c r="I336" s="1">
        <f>_xlfn.XLOOKUP($C336,'Plaza SP Tar'!$C:$C,'Plaza SP Tar'!G:G)</f>
        <v>4748911.7069593538</v>
      </c>
      <c r="J336" s="1">
        <v>25000</v>
      </c>
      <c r="K336" s="1">
        <f>_xlfn.XLOOKUP($C336,'Plaza SP Tar'!$C:$C,'Plaza SP Tar'!H:H)</f>
        <v>5180630.9530465677</v>
      </c>
      <c r="L336" s="1">
        <v>30000</v>
      </c>
      <c r="M336" s="1">
        <f>_xlfn.XLOOKUP($C336,'Plaza SP Tar'!$C:$C,'Plaza SP Tar'!I:I)</f>
        <v>5612350.1991337817</v>
      </c>
      <c r="N336" s="1">
        <v>40000</v>
      </c>
      <c r="O336" s="1">
        <f>_xlfn.XLOOKUP($C336,'Plaza SP Tar'!$C:$C,'Plaza SP Tar'!J:J)</f>
        <v>6044069.4452209957</v>
      </c>
      <c r="P336" s="1">
        <v>45000</v>
      </c>
      <c r="Q336" s="1">
        <f>_xlfn.XLOOKUP($C336,'Plaza SP Tar'!$C:$C,'Plaza SP Tar'!K:K)</f>
        <v>6475788.6913082097</v>
      </c>
      <c r="R336">
        <v>50000</v>
      </c>
    </row>
    <row r="337" spans="1:18" x14ac:dyDescent="0.25">
      <c r="A337" t="s">
        <v>304</v>
      </c>
      <c r="B337" t="s">
        <v>355</v>
      </c>
      <c r="C337" t="s">
        <v>366</v>
      </c>
      <c r="D337" s="1">
        <v>2197775</v>
      </c>
      <c r="E337" s="1">
        <f>_xlfn.XLOOKUP($C337,'Plaza SP Tar'!$C:$C,'Plaza SP Tar'!E:E)</f>
        <v>2398941.7543561407</v>
      </c>
      <c r="F337" s="1">
        <v>10000</v>
      </c>
      <c r="G337" s="1">
        <f>_xlfn.XLOOKUP($C337,'Plaza SP Tar'!$C:$C,'Plaza SP Tar'!F:F)</f>
        <v>2741647.7192641608</v>
      </c>
      <c r="H337" s="1">
        <v>18000</v>
      </c>
      <c r="I337" s="1">
        <f>_xlfn.XLOOKUP($C337,'Plaza SP Tar'!$C:$C,'Plaza SP Tar'!G:G)</f>
        <v>3015812.4911905765</v>
      </c>
      <c r="J337" s="1">
        <v>25000</v>
      </c>
      <c r="K337" s="1">
        <f>_xlfn.XLOOKUP($C337,'Plaza SP Tar'!$C:$C,'Plaza SP Tar'!H:H)</f>
        <v>3289977.2631169925</v>
      </c>
      <c r="L337" s="1">
        <v>30000</v>
      </c>
      <c r="M337" s="1">
        <f>_xlfn.XLOOKUP($C337,'Plaza SP Tar'!$C:$C,'Plaza SP Tar'!I:I)</f>
        <v>3564142.0350434086</v>
      </c>
      <c r="N337" s="1">
        <v>40000</v>
      </c>
      <c r="O337" s="1">
        <f>_xlfn.XLOOKUP($C337,'Plaza SP Tar'!$C:$C,'Plaza SP Tar'!J:J)</f>
        <v>3838306.8069698247</v>
      </c>
      <c r="P337" s="1">
        <v>45000</v>
      </c>
      <c r="Q337" s="1">
        <f>_xlfn.XLOOKUP($C337,'Plaza SP Tar'!$C:$C,'Plaza SP Tar'!K:K)</f>
        <v>4112471.5788962408</v>
      </c>
      <c r="R337">
        <v>50000</v>
      </c>
    </row>
    <row r="338" spans="1:18" x14ac:dyDescent="0.25">
      <c r="A338" t="s">
        <v>304</v>
      </c>
      <c r="B338" t="s">
        <v>355</v>
      </c>
      <c r="C338" t="s">
        <v>367</v>
      </c>
      <c r="D338" s="1">
        <v>3630272</v>
      </c>
      <c r="E338" s="1">
        <f>_xlfn.XLOOKUP($C338,'Plaza SP Tar'!$C:$C,'Plaza SP Tar'!E:E)</f>
        <v>3962558.0782700572</v>
      </c>
      <c r="F338" s="1">
        <v>10000</v>
      </c>
      <c r="G338" s="1">
        <f>_xlfn.XLOOKUP($C338,'Plaza SP Tar'!$C:$C,'Plaza SP Tar'!F:F)</f>
        <v>4528637.8037372082</v>
      </c>
      <c r="H338" s="1">
        <v>18000</v>
      </c>
      <c r="I338" s="1">
        <f>_xlfn.XLOOKUP($C338,'Plaza SP Tar'!$C:$C,'Plaza SP Tar'!G:G)</f>
        <v>4981501.5841109287</v>
      </c>
      <c r="J338" s="1">
        <v>25000</v>
      </c>
      <c r="K338" s="1">
        <f>_xlfn.XLOOKUP($C338,'Plaza SP Tar'!$C:$C,'Plaza SP Tar'!H:H)</f>
        <v>5434365.3644846501</v>
      </c>
      <c r="L338" s="1">
        <v>30000</v>
      </c>
      <c r="M338" s="1">
        <f>_xlfn.XLOOKUP($C338,'Plaza SP Tar'!$C:$C,'Plaza SP Tar'!I:I)</f>
        <v>5887229.1448583705</v>
      </c>
      <c r="N338" s="1">
        <v>40000</v>
      </c>
      <c r="O338" s="1">
        <f>_xlfn.XLOOKUP($C338,'Plaza SP Tar'!$C:$C,'Plaza SP Tar'!J:J)</f>
        <v>6340092.925232091</v>
      </c>
      <c r="P338" s="1">
        <v>45000</v>
      </c>
      <c r="Q338" s="1">
        <f>_xlfn.XLOOKUP($C338,'Plaza SP Tar'!$C:$C,'Plaza SP Tar'!K:K)</f>
        <v>6792956.7056058124</v>
      </c>
      <c r="R338">
        <v>50000</v>
      </c>
    </row>
    <row r="339" spans="1:18" x14ac:dyDescent="0.25">
      <c r="A339" t="s">
        <v>304</v>
      </c>
      <c r="B339" t="s">
        <v>355</v>
      </c>
      <c r="C339" t="s">
        <v>368</v>
      </c>
      <c r="D339" s="1">
        <v>3249209</v>
      </c>
      <c r="E339" s="1">
        <f>_xlfn.XLOOKUP($C339,'Plaza SP Tar'!$C:$C,'Plaza SP Tar'!E:E)</f>
        <v>3546615.6174903079</v>
      </c>
      <c r="F339" s="1">
        <v>10000</v>
      </c>
      <c r="G339" s="1">
        <f>_xlfn.XLOOKUP($C339,'Plaza SP Tar'!$C:$C,'Plaza SP Tar'!F:F)</f>
        <v>4053274.9914174946</v>
      </c>
      <c r="H339" s="1">
        <v>18000</v>
      </c>
      <c r="I339" s="1">
        <f>_xlfn.XLOOKUP($C339,'Plaza SP Tar'!$C:$C,'Plaza SP Tar'!G:G)</f>
        <v>4458602.4905592436</v>
      </c>
      <c r="J339" s="1">
        <v>25000</v>
      </c>
      <c r="K339" s="1">
        <f>_xlfn.XLOOKUP($C339,'Plaza SP Tar'!$C:$C,'Plaza SP Tar'!H:H)</f>
        <v>4863929.9897009935</v>
      </c>
      <c r="L339" s="1">
        <v>30000</v>
      </c>
      <c r="M339" s="1">
        <f>_xlfn.XLOOKUP($C339,'Plaza SP Tar'!$C:$C,'Plaza SP Tar'!I:I)</f>
        <v>5269257.4888427425</v>
      </c>
      <c r="N339" s="1">
        <v>40000</v>
      </c>
      <c r="O339" s="1">
        <f>_xlfn.XLOOKUP($C339,'Plaza SP Tar'!$C:$C,'Plaza SP Tar'!J:J)</f>
        <v>5674584.9879844915</v>
      </c>
      <c r="P339" s="1">
        <v>45000</v>
      </c>
      <c r="Q339" s="1">
        <f>_xlfn.XLOOKUP($C339,'Plaza SP Tar'!$C:$C,'Plaza SP Tar'!K:K)</f>
        <v>6079912.4871262414</v>
      </c>
      <c r="R339">
        <v>50000</v>
      </c>
    </row>
    <row r="340" spans="1:18" x14ac:dyDescent="0.25">
      <c r="A340" t="s">
        <v>304</v>
      </c>
      <c r="B340" t="s">
        <v>355</v>
      </c>
      <c r="C340" t="s">
        <v>369</v>
      </c>
      <c r="D340" s="1">
        <v>2616725</v>
      </c>
      <c r="E340" s="1">
        <f>_xlfn.XLOOKUP($C340,'Plaza SP Tar'!$C:$C,'Plaza SP Tar'!E:E)</f>
        <v>2856239.0882449625</v>
      </c>
      <c r="F340" s="1">
        <v>10000</v>
      </c>
      <c r="G340" s="1">
        <f>_xlfn.XLOOKUP($C340,'Plaza SP Tar'!$C:$C,'Plaza SP Tar'!F:F)</f>
        <v>3264273.2437085281</v>
      </c>
      <c r="H340" s="1">
        <v>18000</v>
      </c>
      <c r="I340" s="1">
        <f>_xlfn.XLOOKUP($C340,'Plaza SP Tar'!$C:$C,'Plaza SP Tar'!G:G)</f>
        <v>3590700.5680793808</v>
      </c>
      <c r="J340" s="1">
        <v>25000</v>
      </c>
      <c r="K340" s="1">
        <f>_xlfn.XLOOKUP($C340,'Plaza SP Tar'!$C:$C,'Plaza SP Tar'!H:H)</f>
        <v>3917127.8924502339</v>
      </c>
      <c r="L340" s="1">
        <v>30000</v>
      </c>
      <c r="M340" s="1">
        <f>_xlfn.XLOOKUP($C340,'Plaza SP Tar'!$C:$C,'Plaza SP Tar'!I:I)</f>
        <v>4243555.2168210866</v>
      </c>
      <c r="N340" s="1">
        <v>40000</v>
      </c>
      <c r="O340" s="1">
        <f>_xlfn.XLOOKUP($C340,'Plaza SP Tar'!$C:$C,'Plaza SP Tar'!J:J)</f>
        <v>4569982.5411919393</v>
      </c>
      <c r="P340" s="1">
        <v>45000</v>
      </c>
      <c r="Q340" s="1">
        <f>_xlfn.XLOOKUP($C340,'Plaza SP Tar'!$C:$C,'Plaza SP Tar'!K:K)</f>
        <v>4896409.8655627919</v>
      </c>
      <c r="R340">
        <v>50000</v>
      </c>
    </row>
    <row r="341" spans="1:18" x14ac:dyDescent="0.25">
      <c r="A341" t="s">
        <v>304</v>
      </c>
      <c r="B341" t="s">
        <v>370</v>
      </c>
      <c r="C341" t="s">
        <v>371</v>
      </c>
      <c r="D341" s="1">
        <v>3706036</v>
      </c>
      <c r="E341" s="1">
        <f>_xlfn.XLOOKUP($C341,'Plaza SP Tar'!$C:$C,'Plaza SP Tar'!E:E)</f>
        <v>4045256.9091681424</v>
      </c>
      <c r="F341" s="1">
        <v>10000</v>
      </c>
      <c r="G341" s="1">
        <f>_xlfn.XLOOKUP($C341,'Plaza SP Tar'!$C:$C,'Plaza SP Tar'!F:F)</f>
        <v>4623150.7533350196</v>
      </c>
      <c r="H341" s="1">
        <v>18000</v>
      </c>
      <c r="I341" s="1">
        <f>_xlfn.XLOOKUP($C341,'Plaza SP Tar'!$C:$C,'Plaza SP Tar'!G:G)</f>
        <v>5085465.8286685208</v>
      </c>
      <c r="J341" s="1">
        <v>25000</v>
      </c>
      <c r="K341" s="1">
        <f>_xlfn.XLOOKUP($C341,'Plaza SP Tar'!$C:$C,'Plaza SP Tar'!H:H)</f>
        <v>5547780.9040020229</v>
      </c>
      <c r="L341" s="1">
        <v>30000</v>
      </c>
      <c r="M341" s="1">
        <f>_xlfn.XLOOKUP($C341,'Plaza SP Tar'!$C:$C,'Plaza SP Tar'!I:I)</f>
        <v>6010095.9793355251</v>
      </c>
      <c r="N341" s="1">
        <v>40000</v>
      </c>
      <c r="O341" s="1">
        <f>_xlfn.XLOOKUP($C341,'Plaza SP Tar'!$C:$C,'Plaza SP Tar'!J:J)</f>
        <v>6472411.0546690272</v>
      </c>
      <c r="P341" s="1">
        <v>45000</v>
      </c>
      <c r="Q341" s="1">
        <f>_xlfn.XLOOKUP($C341,'Plaza SP Tar'!$C:$C,'Plaza SP Tar'!K:K)</f>
        <v>6934726.1300025294</v>
      </c>
      <c r="R341">
        <v>50000</v>
      </c>
    </row>
    <row r="342" spans="1:18" x14ac:dyDescent="0.25">
      <c r="A342" t="s">
        <v>304</v>
      </c>
      <c r="B342" t="s">
        <v>370</v>
      </c>
      <c r="C342" t="s">
        <v>372</v>
      </c>
      <c r="D342" s="1">
        <v>3248235</v>
      </c>
      <c r="E342" s="1">
        <f>_xlfn.XLOOKUP($C342,'Plaza SP Tar'!$C:$C,'Plaza SP Tar'!E:E)</f>
        <v>3545552.4653165215</v>
      </c>
      <c r="F342" s="1">
        <v>10000</v>
      </c>
      <c r="G342" s="1">
        <f>_xlfn.XLOOKUP($C342,'Plaza SP Tar'!$C:$C,'Plaza SP Tar'!F:F)</f>
        <v>4052059.9603617392</v>
      </c>
      <c r="H342" s="1">
        <v>18000</v>
      </c>
      <c r="I342" s="1">
        <f>_xlfn.XLOOKUP($C342,'Plaza SP Tar'!$C:$C,'Plaza SP Tar'!G:G)</f>
        <v>4457265.9563979125</v>
      </c>
      <c r="J342" s="1">
        <v>25000</v>
      </c>
      <c r="K342" s="1">
        <f>_xlfn.XLOOKUP($C342,'Plaza SP Tar'!$C:$C,'Plaza SP Tar'!H:H)</f>
        <v>4862471.9524340862</v>
      </c>
      <c r="L342" s="1">
        <v>30000</v>
      </c>
      <c r="M342" s="1">
        <f>_xlfn.XLOOKUP($C342,'Plaza SP Tar'!$C:$C,'Plaza SP Tar'!I:I)</f>
        <v>5267677.9484702609</v>
      </c>
      <c r="N342" s="1">
        <v>40000</v>
      </c>
      <c r="O342" s="1">
        <f>_xlfn.XLOOKUP($C342,'Plaza SP Tar'!$C:$C,'Plaza SP Tar'!J:J)</f>
        <v>5672883.9445064338</v>
      </c>
      <c r="P342" s="1">
        <v>45000</v>
      </c>
      <c r="Q342" s="1">
        <f>_xlfn.XLOOKUP($C342,'Plaza SP Tar'!$C:$C,'Plaza SP Tar'!K:K)</f>
        <v>6078089.9405426085</v>
      </c>
      <c r="R342">
        <v>50000</v>
      </c>
    </row>
    <row r="343" spans="1:18" x14ac:dyDescent="0.25">
      <c r="A343" t="s">
        <v>304</v>
      </c>
      <c r="B343" t="s">
        <v>370</v>
      </c>
      <c r="C343" t="s">
        <v>373</v>
      </c>
      <c r="D343" s="1">
        <v>5716999</v>
      </c>
      <c r="E343" s="1">
        <f>_xlfn.XLOOKUP($C343,'Plaza SP Tar'!$C:$C,'Plaza SP Tar'!E:E)</f>
        <v>6240287.3864305047</v>
      </c>
      <c r="F343" s="1">
        <v>10000</v>
      </c>
      <c r="G343" s="1">
        <f>_xlfn.XLOOKUP($C343,'Plaza SP Tar'!$C:$C,'Plaza SP Tar'!F:F)</f>
        <v>7131757.0130634336</v>
      </c>
      <c r="H343" s="1">
        <v>18000</v>
      </c>
      <c r="I343" s="1">
        <f>_xlfn.XLOOKUP($C343,'Plaza SP Tar'!$C:$C,'Plaza SP Tar'!G:G)</f>
        <v>7844932.7143697757</v>
      </c>
      <c r="J343" s="1">
        <v>25000</v>
      </c>
      <c r="K343" s="1">
        <f>_xlfn.XLOOKUP($C343,'Plaza SP Tar'!$C:$C,'Plaza SP Tar'!H:H)</f>
        <v>8558108.4156761188</v>
      </c>
      <c r="L343" s="1">
        <v>30000</v>
      </c>
      <c r="M343" s="1">
        <f>_xlfn.XLOOKUP($C343,'Plaza SP Tar'!$C:$C,'Plaza SP Tar'!I:I)</f>
        <v>9271284.1169824637</v>
      </c>
      <c r="N343" s="1">
        <v>40000</v>
      </c>
      <c r="O343" s="1">
        <f>_xlfn.XLOOKUP($C343,'Plaza SP Tar'!$C:$C,'Plaza SP Tar'!J:J)</f>
        <v>9984459.818288805</v>
      </c>
      <c r="P343" s="1">
        <v>45000</v>
      </c>
      <c r="Q343" s="1">
        <f>_xlfn.XLOOKUP($C343,'Plaza SP Tar'!$C:$C,'Plaza SP Tar'!K:K)</f>
        <v>10697635.51959515</v>
      </c>
      <c r="R343">
        <v>50000</v>
      </c>
    </row>
    <row r="344" spans="1:18" x14ac:dyDescent="0.25">
      <c r="A344" t="s">
        <v>304</v>
      </c>
      <c r="B344" t="s">
        <v>370</v>
      </c>
      <c r="C344" t="s">
        <v>374</v>
      </c>
      <c r="D344" s="1">
        <v>4200929</v>
      </c>
      <c r="E344" s="1">
        <f>_xlfn.XLOOKUP($C344,'Plaza SP Tar'!$C:$C,'Plaza SP Tar'!E:E)</f>
        <v>4585448.4581841128</v>
      </c>
      <c r="F344" s="1">
        <v>10000</v>
      </c>
      <c r="G344" s="1">
        <f>_xlfn.XLOOKUP($C344,'Plaza SP Tar'!$C:$C,'Plaza SP Tar'!F:F)</f>
        <v>5240512.5236389851</v>
      </c>
      <c r="H344" s="1">
        <v>18000</v>
      </c>
      <c r="I344" s="1">
        <f>_xlfn.XLOOKUP($C344,'Plaza SP Tar'!$C:$C,'Plaza SP Tar'!G:G)</f>
        <v>5764563.776002883</v>
      </c>
      <c r="J344" s="1">
        <v>25000</v>
      </c>
      <c r="K344" s="1">
        <f>_xlfn.XLOOKUP($C344,'Plaza SP Tar'!$C:$C,'Plaza SP Tar'!H:H)</f>
        <v>6288615.0283667818</v>
      </c>
      <c r="L344" s="1">
        <v>30000</v>
      </c>
      <c r="M344" s="1">
        <f>_xlfn.XLOOKUP($C344,'Plaza SP Tar'!$C:$C,'Plaza SP Tar'!I:I)</f>
        <v>6812666.2807306806</v>
      </c>
      <c r="N344" s="1">
        <v>40000</v>
      </c>
      <c r="O344" s="1">
        <f>_xlfn.XLOOKUP($C344,'Plaza SP Tar'!$C:$C,'Plaza SP Tar'!J:J)</f>
        <v>7336717.5330945784</v>
      </c>
      <c r="P344" s="1">
        <v>45000</v>
      </c>
      <c r="Q344" s="1">
        <f>_xlfn.XLOOKUP($C344,'Plaza SP Tar'!$C:$C,'Plaza SP Tar'!K:K)</f>
        <v>7860768.7854584772</v>
      </c>
      <c r="R344">
        <v>50000</v>
      </c>
    </row>
    <row r="345" spans="1:18" x14ac:dyDescent="0.25">
      <c r="A345" t="s">
        <v>304</v>
      </c>
      <c r="B345" t="s">
        <v>370</v>
      </c>
      <c r="C345" t="s">
        <v>375</v>
      </c>
      <c r="D345" s="1">
        <v>1730161</v>
      </c>
      <c r="E345" s="1">
        <f>_xlfn.XLOOKUP($C345,'Plaza SP Tar'!$C:$C,'Plaza SP Tar'!E:E)</f>
        <v>1888526.1069302247</v>
      </c>
      <c r="F345" s="1">
        <v>10000</v>
      </c>
      <c r="G345" s="1">
        <f>_xlfn.XLOOKUP($C345,'Plaza SP Tar'!$C:$C,'Plaza SP Tar'!F:F)</f>
        <v>2158315.5507773994</v>
      </c>
      <c r="H345" s="1">
        <v>18000</v>
      </c>
      <c r="I345" s="1">
        <f>_xlfn.XLOOKUP($C345,'Plaza SP Tar'!$C:$C,'Plaza SP Tar'!G:G)</f>
        <v>2374147.1058551394</v>
      </c>
      <c r="J345" s="1">
        <v>25000</v>
      </c>
      <c r="K345" s="1">
        <f>_xlfn.XLOOKUP($C345,'Plaza SP Tar'!$C:$C,'Plaza SP Tar'!H:H)</f>
        <v>2589978.6609328794</v>
      </c>
      <c r="L345" s="1">
        <v>30000</v>
      </c>
      <c r="M345" s="1">
        <f>_xlfn.XLOOKUP($C345,'Plaza SP Tar'!$C:$C,'Plaza SP Tar'!I:I)</f>
        <v>2805810.2160106194</v>
      </c>
      <c r="N345" s="1">
        <v>40000</v>
      </c>
      <c r="O345" s="1">
        <f>_xlfn.XLOOKUP($C345,'Plaza SP Tar'!$C:$C,'Plaza SP Tar'!J:J)</f>
        <v>3021641.7710883589</v>
      </c>
      <c r="P345" s="1">
        <v>45000</v>
      </c>
      <c r="Q345" s="1">
        <f>_xlfn.XLOOKUP($C345,'Plaza SP Tar'!$C:$C,'Plaza SP Tar'!K:K)</f>
        <v>3237473.3261660994</v>
      </c>
      <c r="R345">
        <v>50000</v>
      </c>
    </row>
    <row r="346" spans="1:18" x14ac:dyDescent="0.25">
      <c r="A346" t="s">
        <v>304</v>
      </c>
      <c r="B346" t="s">
        <v>370</v>
      </c>
      <c r="C346" t="s">
        <v>376</v>
      </c>
      <c r="D346" s="1">
        <v>3508819</v>
      </c>
      <c r="E346" s="1">
        <f>_xlfn.XLOOKUP($C346,'Plaza SP Tar'!$C:$C,'Plaza SP Tar'!E:E)</f>
        <v>3829988.2415525517</v>
      </c>
      <c r="F346" s="1">
        <v>10000</v>
      </c>
      <c r="G346" s="1">
        <f>_xlfn.XLOOKUP($C346,'Plaza SP Tar'!$C:$C,'Plaza SP Tar'!F:F)</f>
        <v>4377129.4189172015</v>
      </c>
      <c r="H346" s="1">
        <v>18000</v>
      </c>
      <c r="I346" s="1">
        <f>_xlfn.XLOOKUP($C346,'Plaza SP Tar'!$C:$C,'Plaza SP Tar'!G:G)</f>
        <v>4814842.360808921</v>
      </c>
      <c r="J346" s="1">
        <v>25000</v>
      </c>
      <c r="K346" s="1">
        <f>_xlfn.XLOOKUP($C346,'Plaza SP Tar'!$C:$C,'Plaza SP Tar'!H:H)</f>
        <v>5252555.3027006416</v>
      </c>
      <c r="L346" s="1">
        <v>30000</v>
      </c>
      <c r="M346" s="1">
        <f>_xlfn.XLOOKUP($C346,'Plaza SP Tar'!$C:$C,'Plaza SP Tar'!I:I)</f>
        <v>5690268.2445923621</v>
      </c>
      <c r="N346" s="1">
        <v>40000</v>
      </c>
      <c r="O346" s="1">
        <f>_xlfn.XLOOKUP($C346,'Plaza SP Tar'!$C:$C,'Plaza SP Tar'!J:J)</f>
        <v>6127981.1864840817</v>
      </c>
      <c r="P346" s="1">
        <v>45000</v>
      </c>
      <c r="Q346" s="1">
        <f>_xlfn.XLOOKUP($C346,'Plaza SP Tar'!$C:$C,'Plaza SP Tar'!K:K)</f>
        <v>6565694.1283758022</v>
      </c>
      <c r="R346">
        <v>50000</v>
      </c>
    </row>
    <row r="347" spans="1:18" x14ac:dyDescent="0.25">
      <c r="A347" t="s">
        <v>304</v>
      </c>
      <c r="B347" t="s">
        <v>370</v>
      </c>
      <c r="C347" t="s">
        <v>377</v>
      </c>
      <c r="D347" s="1">
        <v>4261302</v>
      </c>
      <c r="E347" s="1">
        <f>_xlfn.XLOOKUP($C347,'Plaza SP Tar'!$C:$C,'Plaza SP Tar'!E:E)</f>
        <v>4651347.5199787654</v>
      </c>
      <c r="F347" s="1">
        <v>10000</v>
      </c>
      <c r="G347" s="1">
        <f>_xlfn.XLOOKUP($C347,'Plaza SP Tar'!$C:$C,'Plaza SP Tar'!F:F)</f>
        <v>5315825.7371185888</v>
      </c>
      <c r="H347" s="1">
        <v>18000</v>
      </c>
      <c r="I347" s="1">
        <f>_xlfn.XLOOKUP($C347,'Plaza SP Tar'!$C:$C,'Plaza SP Tar'!G:G)</f>
        <v>5847408.3108304469</v>
      </c>
      <c r="J347" s="1">
        <v>25000</v>
      </c>
      <c r="K347" s="1">
        <f>_xlfn.XLOOKUP($C347,'Plaza SP Tar'!$C:$C,'Plaza SP Tar'!H:H)</f>
        <v>6378990.884542306</v>
      </c>
      <c r="L347" s="1">
        <v>30000</v>
      </c>
      <c r="M347" s="1">
        <f>_xlfn.XLOOKUP($C347,'Plaza SP Tar'!$C:$C,'Plaza SP Tar'!I:I)</f>
        <v>6910573.458254165</v>
      </c>
      <c r="N347" s="1">
        <v>40000</v>
      </c>
      <c r="O347" s="1">
        <f>_xlfn.XLOOKUP($C347,'Plaza SP Tar'!$C:$C,'Plaza SP Tar'!J:J)</f>
        <v>7442156.0319660231</v>
      </c>
      <c r="P347" s="1">
        <v>45000</v>
      </c>
      <c r="Q347" s="1">
        <f>_xlfn.XLOOKUP($C347,'Plaza SP Tar'!$C:$C,'Plaza SP Tar'!K:K)</f>
        <v>7973738.6056778822</v>
      </c>
      <c r="R347">
        <v>50000</v>
      </c>
    </row>
    <row r="348" spans="1:18" x14ac:dyDescent="0.25">
      <c r="A348" t="s">
        <v>304</v>
      </c>
      <c r="B348" t="s">
        <v>370</v>
      </c>
      <c r="C348" t="s">
        <v>378</v>
      </c>
      <c r="D348" s="1">
        <v>6518989</v>
      </c>
      <c r="E348" s="1">
        <f>_xlfn.XLOOKUP($C348,'Plaza SP Tar'!$C:$C,'Plaza SP Tar'!E:E)</f>
        <v>7115685.1398748206</v>
      </c>
      <c r="F348" s="1">
        <v>10000</v>
      </c>
      <c r="G348" s="1">
        <f>_xlfn.XLOOKUP($C348,'Plaza SP Tar'!$C:$C,'Plaza SP Tar'!F:F)</f>
        <v>8132211.588428366</v>
      </c>
      <c r="H348" s="1">
        <v>18000</v>
      </c>
      <c r="I348" s="1">
        <f>_xlfn.XLOOKUP($C348,'Plaza SP Tar'!$C:$C,'Plaza SP Tar'!G:G)</f>
        <v>8945432.7472712006</v>
      </c>
      <c r="J348" s="1">
        <v>25000</v>
      </c>
      <c r="K348" s="1">
        <f>_xlfn.XLOOKUP($C348,'Plaza SP Tar'!$C:$C,'Plaza SP Tar'!H:H)</f>
        <v>9758653.9061140381</v>
      </c>
      <c r="L348" s="1">
        <v>30000</v>
      </c>
      <c r="M348" s="1">
        <f>_xlfn.XLOOKUP($C348,'Plaza SP Tar'!$C:$C,'Plaza SP Tar'!I:I)</f>
        <v>10571875.064956876</v>
      </c>
      <c r="N348" s="1">
        <v>40000</v>
      </c>
      <c r="O348" s="1">
        <f>_xlfn.XLOOKUP($C348,'Plaza SP Tar'!$C:$C,'Plaza SP Tar'!J:J)</f>
        <v>11385096.223799711</v>
      </c>
      <c r="P348" s="1">
        <v>45000</v>
      </c>
      <c r="Q348" s="1">
        <f>_xlfn.XLOOKUP($C348,'Plaza SP Tar'!$C:$C,'Plaza SP Tar'!K:K)</f>
        <v>12198317.382642549</v>
      </c>
      <c r="R348">
        <v>50000</v>
      </c>
    </row>
    <row r="349" spans="1:18" x14ac:dyDescent="0.25">
      <c r="A349" t="s">
        <v>304</v>
      </c>
      <c r="B349" t="s">
        <v>370</v>
      </c>
      <c r="C349" t="s">
        <v>379</v>
      </c>
      <c r="D349" s="1">
        <v>3305778</v>
      </c>
      <c r="E349" s="1">
        <f>_xlfn.XLOOKUP($C349,'Plaza SP Tar'!$C:$C,'Plaza SP Tar'!E:E)</f>
        <v>3608362.4915343625</v>
      </c>
      <c r="F349" s="1">
        <v>10000</v>
      </c>
      <c r="G349" s="1">
        <f>_xlfn.XLOOKUP($C349,'Plaza SP Tar'!$C:$C,'Plaza SP Tar'!F:F)</f>
        <v>4123842.847467843</v>
      </c>
      <c r="H349" s="1">
        <v>18000</v>
      </c>
      <c r="I349" s="1">
        <f>_xlfn.XLOOKUP($C349,'Plaza SP Tar'!$C:$C,'Plaza SP Tar'!G:G)</f>
        <v>4536227.1322146263</v>
      </c>
      <c r="J349" s="1">
        <v>25000</v>
      </c>
      <c r="K349" s="1">
        <f>_xlfn.XLOOKUP($C349,'Plaza SP Tar'!$C:$C,'Plaza SP Tar'!H:H)</f>
        <v>4948611.416961411</v>
      </c>
      <c r="L349" s="1">
        <v>30000</v>
      </c>
      <c r="M349" s="1">
        <f>_xlfn.XLOOKUP($C349,'Plaza SP Tar'!$C:$C,'Plaza SP Tar'!I:I)</f>
        <v>5360995.7017081957</v>
      </c>
      <c r="N349" s="1">
        <v>40000</v>
      </c>
      <c r="O349" s="1">
        <f>_xlfn.XLOOKUP($C349,'Plaza SP Tar'!$C:$C,'Plaza SP Tar'!J:J)</f>
        <v>5773379.9864549795</v>
      </c>
      <c r="P349" s="1">
        <v>45000</v>
      </c>
      <c r="Q349" s="1">
        <f>_xlfn.XLOOKUP($C349,'Plaza SP Tar'!$C:$C,'Plaza SP Tar'!K:K)</f>
        <v>6185764.2712017642</v>
      </c>
      <c r="R349">
        <v>50000</v>
      </c>
    </row>
    <row r="350" spans="1:18" x14ac:dyDescent="0.25">
      <c r="A350" t="s">
        <v>304</v>
      </c>
      <c r="B350" t="s">
        <v>370</v>
      </c>
      <c r="C350" t="s">
        <v>380</v>
      </c>
      <c r="D350" s="1">
        <v>1699999</v>
      </c>
      <c r="E350" s="1">
        <f>_xlfn.XLOOKUP($C350,'Plaza SP Tar'!$C:$C,'Plaza SP Tar'!E:E)</f>
        <v>1855603.3185670439</v>
      </c>
      <c r="F350" s="1">
        <v>10000</v>
      </c>
      <c r="G350" s="1">
        <f>_xlfn.XLOOKUP($C350,'Plaza SP Tar'!$C:$C,'Plaza SP Tar'!F:F)</f>
        <v>2120689.5069337641</v>
      </c>
      <c r="H350" s="1">
        <v>18000</v>
      </c>
      <c r="I350" s="1">
        <f>_xlfn.XLOOKUP($C350,'Plaza SP Tar'!$C:$C,'Plaza SP Tar'!G:G)</f>
        <v>2332758.4576271405</v>
      </c>
      <c r="J350" s="1">
        <v>25000</v>
      </c>
      <c r="K350" s="1">
        <f>_xlfn.XLOOKUP($C350,'Plaza SP Tar'!$C:$C,'Plaza SP Tar'!H:H)</f>
        <v>2544827.4083205168</v>
      </c>
      <c r="L350" s="1">
        <v>30000</v>
      </c>
      <c r="M350" s="1">
        <f>_xlfn.XLOOKUP($C350,'Plaza SP Tar'!$C:$C,'Plaza SP Tar'!I:I)</f>
        <v>2756896.3590138936</v>
      </c>
      <c r="N350" s="1">
        <v>40000</v>
      </c>
      <c r="O350" s="1">
        <f>_xlfn.XLOOKUP($C350,'Plaza SP Tar'!$C:$C,'Plaza SP Tar'!J:J)</f>
        <v>2968965.3097072695</v>
      </c>
      <c r="P350" s="1">
        <v>45000</v>
      </c>
      <c r="Q350" s="1">
        <f>_xlfn.XLOOKUP($C350,'Plaza SP Tar'!$C:$C,'Plaza SP Tar'!K:K)</f>
        <v>3181034.2604006464</v>
      </c>
      <c r="R350">
        <v>50000</v>
      </c>
    </row>
    <row r="351" spans="1:18" x14ac:dyDescent="0.25">
      <c r="A351" t="s">
        <v>304</v>
      </c>
      <c r="B351" t="s">
        <v>370</v>
      </c>
      <c r="C351" t="s">
        <v>381</v>
      </c>
      <c r="D351" s="1">
        <v>1700000</v>
      </c>
      <c r="E351" s="1">
        <f>_xlfn.XLOOKUP($C351,'Plaza SP Tar'!$C:$C,'Plaza SP Tar'!E:E)</f>
        <v>1855604.4100990498</v>
      </c>
      <c r="F351" s="1">
        <v>10000</v>
      </c>
      <c r="G351" s="1">
        <f>_xlfn.XLOOKUP($C351,'Plaza SP Tar'!$C:$C,'Plaza SP Tar'!F:F)</f>
        <v>2120690.7543989141</v>
      </c>
      <c r="H351" s="1">
        <v>18000</v>
      </c>
      <c r="I351" s="1">
        <f>_xlfn.XLOOKUP($C351,'Plaza SP Tar'!$C:$C,'Plaza SP Tar'!G:G)</f>
        <v>2332759.8298388049</v>
      </c>
      <c r="J351" s="1">
        <v>25000</v>
      </c>
      <c r="K351" s="1">
        <f>_xlfn.XLOOKUP($C351,'Plaza SP Tar'!$C:$C,'Plaza SP Tar'!H:H)</f>
        <v>2544828.9052786967</v>
      </c>
      <c r="L351" s="1">
        <v>30000</v>
      </c>
      <c r="M351" s="1">
        <f>_xlfn.XLOOKUP($C351,'Plaza SP Tar'!$C:$C,'Plaza SP Tar'!I:I)</f>
        <v>2756897.980718588</v>
      </c>
      <c r="N351" s="1">
        <v>40000</v>
      </c>
      <c r="O351" s="1">
        <f>_xlfn.XLOOKUP($C351,'Plaza SP Tar'!$C:$C,'Plaza SP Tar'!J:J)</f>
        <v>2968967.0561584793</v>
      </c>
      <c r="P351" s="1">
        <v>45000</v>
      </c>
      <c r="Q351" s="1">
        <f>_xlfn.XLOOKUP($C351,'Plaza SP Tar'!$C:$C,'Plaza SP Tar'!K:K)</f>
        <v>3181036.1315983706</v>
      </c>
      <c r="R351">
        <v>50000</v>
      </c>
    </row>
    <row r="352" spans="1:18" x14ac:dyDescent="0.25">
      <c r="A352" t="s">
        <v>304</v>
      </c>
      <c r="B352" t="s">
        <v>370</v>
      </c>
      <c r="C352" t="s">
        <v>382</v>
      </c>
      <c r="D352" s="1">
        <v>7996071</v>
      </c>
      <c r="E352" s="1">
        <f>_xlfn.XLOOKUP($C352,'Plaza SP Tar'!$C:$C,'Plaza SP Tar'!E:E)</f>
        <v>8727967.4182735998</v>
      </c>
      <c r="F352" s="1">
        <v>10000</v>
      </c>
      <c r="G352" s="1">
        <f>_xlfn.XLOOKUP($C352,'Plaza SP Tar'!$C:$C,'Plaza SP Tar'!F:F)</f>
        <v>9974819.9065983985</v>
      </c>
      <c r="H352" s="1">
        <v>18000</v>
      </c>
      <c r="I352" s="1">
        <f>_xlfn.XLOOKUP($C352,'Plaza SP Tar'!$C:$C,'Plaza SP Tar'!G:G)</f>
        <v>10972301.897258237</v>
      </c>
      <c r="J352" s="1">
        <v>25000</v>
      </c>
      <c r="K352" s="1">
        <f>_xlfn.XLOOKUP($C352,'Plaza SP Tar'!$C:$C,'Plaza SP Tar'!H:H)</f>
        <v>11969783.887918077</v>
      </c>
      <c r="L352" s="1">
        <v>30000</v>
      </c>
      <c r="M352" s="1">
        <f>_xlfn.XLOOKUP($C352,'Plaza SP Tar'!$C:$C,'Plaza SP Tar'!I:I)</f>
        <v>12967265.878577918</v>
      </c>
      <c r="N352" s="1">
        <v>40000</v>
      </c>
      <c r="O352" s="1">
        <f>_xlfn.XLOOKUP($C352,'Plaza SP Tar'!$C:$C,'Plaza SP Tar'!J:J)</f>
        <v>13964747.869237756</v>
      </c>
      <c r="P352" s="1">
        <v>45000</v>
      </c>
      <c r="Q352" s="1">
        <f>_xlfn.XLOOKUP($C352,'Plaza SP Tar'!$C:$C,'Plaza SP Tar'!K:K)</f>
        <v>14962229.859897597</v>
      </c>
      <c r="R352">
        <v>50000</v>
      </c>
    </row>
    <row r="353" spans="1:18" x14ac:dyDescent="0.25">
      <c r="A353" t="s">
        <v>304</v>
      </c>
      <c r="B353" t="s">
        <v>370</v>
      </c>
      <c r="C353" t="s">
        <v>383</v>
      </c>
      <c r="D353" s="1">
        <v>3154720</v>
      </c>
      <c r="E353" s="1">
        <f>_xlfn.XLOOKUP($C353,'Plaza SP Tar'!$C:$C,'Plaza SP Tar'!E:E)</f>
        <v>3443477.8497809847</v>
      </c>
      <c r="F353" s="1">
        <v>10000</v>
      </c>
      <c r="G353" s="1">
        <f>_xlfn.XLOOKUP($C353,'Plaza SP Tar'!$C:$C,'Plaza SP Tar'!F:F)</f>
        <v>3935403.256892554</v>
      </c>
      <c r="H353" s="1">
        <v>18000</v>
      </c>
      <c r="I353" s="1">
        <f>_xlfn.XLOOKUP($C353,'Plaza SP Tar'!$C:$C,'Plaza SP Tar'!G:G)</f>
        <v>4328943.5825818088</v>
      </c>
      <c r="J353" s="1">
        <v>25000</v>
      </c>
      <c r="K353" s="1">
        <f>_xlfn.XLOOKUP($C353,'Plaza SP Tar'!$C:$C,'Plaza SP Tar'!H:H)</f>
        <v>4722483.908271065</v>
      </c>
      <c r="L353" s="1">
        <v>30000</v>
      </c>
      <c r="M353" s="1">
        <f>_xlfn.XLOOKUP($C353,'Plaza SP Tar'!$C:$C,'Plaza SP Tar'!I:I)</f>
        <v>5116024.2339603202</v>
      </c>
      <c r="N353" s="1">
        <v>40000</v>
      </c>
      <c r="O353" s="1">
        <f>_xlfn.XLOOKUP($C353,'Plaza SP Tar'!$C:$C,'Plaza SP Tar'!J:J)</f>
        <v>5509564.5596495755</v>
      </c>
      <c r="P353" s="1">
        <v>45000</v>
      </c>
      <c r="Q353" s="1">
        <f>_xlfn.XLOOKUP($C353,'Plaza SP Tar'!$C:$C,'Plaza SP Tar'!K:K)</f>
        <v>5903104.8853388308</v>
      </c>
      <c r="R353">
        <v>50000</v>
      </c>
    </row>
    <row r="354" spans="1:18" x14ac:dyDescent="0.25">
      <c r="A354" t="s">
        <v>304</v>
      </c>
      <c r="B354" t="s">
        <v>370</v>
      </c>
      <c r="C354" t="s">
        <v>384</v>
      </c>
      <c r="D354" s="1">
        <v>1700000</v>
      </c>
      <c r="E354" s="1">
        <f>_xlfn.XLOOKUP($C354,'Plaza SP Tar'!$C:$C,'Plaza SP Tar'!E:E)</f>
        <v>1855604.4100990498</v>
      </c>
      <c r="F354" s="1">
        <v>10000</v>
      </c>
      <c r="G354" s="1">
        <f>_xlfn.XLOOKUP($C354,'Plaza SP Tar'!$C:$C,'Plaza SP Tar'!F:F)</f>
        <v>2120690.7543989141</v>
      </c>
      <c r="H354" s="1">
        <v>18000</v>
      </c>
      <c r="I354" s="1">
        <f>_xlfn.XLOOKUP($C354,'Plaza SP Tar'!$C:$C,'Plaza SP Tar'!G:G)</f>
        <v>2332759.8298388049</v>
      </c>
      <c r="J354" s="1">
        <v>25000</v>
      </c>
      <c r="K354" s="1">
        <f>_xlfn.XLOOKUP($C354,'Plaza SP Tar'!$C:$C,'Plaza SP Tar'!H:H)</f>
        <v>2544828.9052786967</v>
      </c>
      <c r="L354" s="1">
        <v>30000</v>
      </c>
      <c r="M354" s="1">
        <f>_xlfn.XLOOKUP($C354,'Plaza SP Tar'!$C:$C,'Plaza SP Tar'!I:I)</f>
        <v>2756897.980718588</v>
      </c>
      <c r="N354" s="1">
        <v>40000</v>
      </c>
      <c r="O354" s="1">
        <f>_xlfn.XLOOKUP($C354,'Plaza SP Tar'!$C:$C,'Plaza SP Tar'!J:J)</f>
        <v>2968967.0561584793</v>
      </c>
      <c r="P354" s="1">
        <v>45000</v>
      </c>
      <c r="Q354" s="1">
        <f>_xlfn.XLOOKUP($C354,'Plaza SP Tar'!$C:$C,'Plaza SP Tar'!K:K)</f>
        <v>3181036.1315983706</v>
      </c>
      <c r="R354">
        <v>50000</v>
      </c>
    </row>
    <row r="355" spans="1:18" x14ac:dyDescent="0.25">
      <c r="A355" t="s">
        <v>304</v>
      </c>
      <c r="B355" t="s">
        <v>370</v>
      </c>
      <c r="C355" t="s">
        <v>385</v>
      </c>
      <c r="D355" s="1">
        <v>2180160</v>
      </c>
      <c r="E355" s="1">
        <f>_xlfn.XLOOKUP($C355,'Plaza SP Tar'!$C:$C,'Plaza SP Tar'!E:E)</f>
        <v>2379714.4180714968</v>
      </c>
      <c r="F355" s="1">
        <v>10000</v>
      </c>
      <c r="G355" s="1">
        <f>_xlfn.XLOOKUP($C355,'Plaza SP Tar'!$C:$C,'Plaza SP Tar'!F:F)</f>
        <v>2719673.620653139</v>
      </c>
      <c r="H355" s="1">
        <v>18000</v>
      </c>
      <c r="I355" s="1">
        <f>_xlfn.XLOOKUP($C355,'Plaza SP Tar'!$C:$C,'Plaza SP Tar'!G:G)</f>
        <v>2991640.9827184523</v>
      </c>
      <c r="J355" s="1">
        <v>25000</v>
      </c>
      <c r="K355" s="1">
        <f>_xlfn.XLOOKUP($C355,'Plaza SP Tar'!$C:$C,'Plaza SP Tar'!H:H)</f>
        <v>3263608.3447837667</v>
      </c>
      <c r="L355" s="1">
        <v>30000</v>
      </c>
      <c r="M355" s="1">
        <f>_xlfn.XLOOKUP($C355,'Plaza SP Tar'!$C:$C,'Plaza SP Tar'!I:I)</f>
        <v>3535575.7068490805</v>
      </c>
      <c r="N355" s="1">
        <v>40000</v>
      </c>
      <c r="O355" s="1">
        <f>_xlfn.XLOOKUP($C355,'Plaza SP Tar'!$C:$C,'Plaza SP Tar'!J:J)</f>
        <v>3807543.0689143944</v>
      </c>
      <c r="P355" s="1">
        <v>45000</v>
      </c>
      <c r="Q355" s="1">
        <f>_xlfn.XLOOKUP($C355,'Plaza SP Tar'!$C:$C,'Plaza SP Tar'!K:K)</f>
        <v>4079510.4309797082</v>
      </c>
      <c r="R355">
        <v>50000</v>
      </c>
    </row>
    <row r="356" spans="1:18" x14ac:dyDescent="0.25">
      <c r="A356" t="s">
        <v>304</v>
      </c>
      <c r="B356" t="s">
        <v>370</v>
      </c>
      <c r="C356" t="s">
        <v>386</v>
      </c>
      <c r="D356" s="1">
        <v>3591104</v>
      </c>
      <c r="E356" s="1">
        <f>_xlfn.XLOOKUP($C356,'Plaza SP Tar'!$C:$C,'Plaza SP Tar'!E:E)</f>
        <v>3919804.952661375</v>
      </c>
      <c r="F356" s="1">
        <v>10000</v>
      </c>
      <c r="G356" s="1">
        <f>_xlfn.XLOOKUP($C356,'Plaza SP Tar'!$C:$C,'Plaza SP Tar'!F:F)</f>
        <v>4479777.0887558572</v>
      </c>
      <c r="H356" s="1">
        <v>18000</v>
      </c>
      <c r="I356" s="1">
        <f>_xlfn.XLOOKUP($C356,'Plaza SP Tar'!$C:$C,'Plaza SP Tar'!G:G)</f>
        <v>4927754.7976314425</v>
      </c>
      <c r="J356" s="1">
        <v>25000</v>
      </c>
      <c r="K356" s="1">
        <f>_xlfn.XLOOKUP($C356,'Plaza SP Tar'!$C:$C,'Plaza SP Tar'!H:H)</f>
        <v>5375732.5065070288</v>
      </c>
      <c r="L356" s="1">
        <v>30000</v>
      </c>
      <c r="M356" s="1">
        <f>_xlfn.XLOOKUP($C356,'Plaza SP Tar'!$C:$C,'Plaza SP Tar'!I:I)</f>
        <v>5823710.2153826142</v>
      </c>
      <c r="N356" s="1">
        <v>40000</v>
      </c>
      <c r="O356" s="1">
        <f>_xlfn.XLOOKUP($C356,'Plaza SP Tar'!$C:$C,'Plaza SP Tar'!J:J)</f>
        <v>6271687.9242581995</v>
      </c>
      <c r="P356" s="1">
        <v>45000</v>
      </c>
      <c r="Q356" s="1">
        <f>_xlfn.XLOOKUP($C356,'Plaza SP Tar'!$C:$C,'Plaza SP Tar'!K:K)</f>
        <v>6719665.6331337858</v>
      </c>
      <c r="R356">
        <v>50000</v>
      </c>
    </row>
    <row r="357" spans="1:18" x14ac:dyDescent="0.25">
      <c r="A357" t="s">
        <v>387</v>
      </c>
      <c r="B357" t="s">
        <v>388</v>
      </c>
      <c r="C357" t="s">
        <v>389</v>
      </c>
      <c r="D357" s="1">
        <v>2479725</v>
      </c>
      <c r="E357" s="1">
        <f>_xlfn.XLOOKUP($C357,'Plaza SP Tar'!$C:$C,'Plaza SP Tar'!E:E)</f>
        <v>2706699.2034310978</v>
      </c>
      <c r="F357" s="1">
        <v>10000</v>
      </c>
      <c r="G357" s="1">
        <f>_xlfn.XLOOKUP($C357,'Plaza SP Tar'!$C:$C,'Plaza SP Tar'!F:F)</f>
        <v>3093370.5182069689</v>
      </c>
      <c r="H357" s="1">
        <v>18000</v>
      </c>
      <c r="I357" s="1">
        <f>_xlfn.XLOOKUP($C357,'Plaza SP Tar'!$C:$C,'Plaza SP Tar'!G:G)</f>
        <v>3402707.5700276652</v>
      </c>
      <c r="J357" s="1">
        <v>25000</v>
      </c>
      <c r="K357" s="1">
        <f>_xlfn.XLOOKUP($C357,'Plaza SP Tar'!$C:$C,'Plaza SP Tar'!H:H)</f>
        <v>3712044.6218483625</v>
      </c>
      <c r="L357" s="1">
        <v>30000</v>
      </c>
      <c r="M357" s="1">
        <f>_xlfn.XLOOKUP($C357,'Plaza SP Tar'!$C:$C,'Plaza SP Tar'!I:I)</f>
        <v>4021381.6736690593</v>
      </c>
      <c r="N357" s="1">
        <v>40000</v>
      </c>
      <c r="O357" s="1">
        <f>_xlfn.XLOOKUP($C357,'Plaza SP Tar'!$C:$C,'Plaza SP Tar'!J:J)</f>
        <v>4330718.7254897561</v>
      </c>
      <c r="P357" s="1">
        <v>45000</v>
      </c>
      <c r="Q357" s="1">
        <f>_xlfn.XLOOKUP($C357,'Plaza SP Tar'!$C:$C,'Plaza SP Tar'!K:K)</f>
        <v>4640055.7773104524</v>
      </c>
      <c r="R357">
        <v>50000</v>
      </c>
    </row>
    <row r="358" spans="1:18" x14ac:dyDescent="0.25">
      <c r="A358" t="s">
        <v>387</v>
      </c>
      <c r="B358" t="s">
        <v>388</v>
      </c>
      <c r="C358" t="s">
        <v>390</v>
      </c>
      <c r="D358" s="1">
        <v>2076896</v>
      </c>
      <c r="E358" s="1">
        <f>_xlfn.XLOOKUP($C358,'Plaza SP Tar'!$C:$C,'Plaza SP Tar'!E:E)</f>
        <v>2266998.4570100447</v>
      </c>
      <c r="F358" s="1">
        <v>10000</v>
      </c>
      <c r="G358" s="1">
        <f>_xlfn.XLOOKUP($C358,'Plaza SP Tar'!$C:$C,'Plaza SP Tar'!F:F)</f>
        <v>2590855.379440051</v>
      </c>
      <c r="H358" s="1">
        <v>18000</v>
      </c>
      <c r="I358" s="1">
        <f>_xlfn.XLOOKUP($C358,'Plaza SP Tar'!$C:$C,'Plaza SP Tar'!G:G)</f>
        <v>2849940.9173840559</v>
      </c>
      <c r="J358" s="1">
        <v>25000</v>
      </c>
      <c r="K358" s="1">
        <f>_xlfn.XLOOKUP($C358,'Plaza SP Tar'!$C:$C,'Plaza SP Tar'!H:H)</f>
        <v>3109026.4553280612</v>
      </c>
      <c r="L358" s="1">
        <v>30000</v>
      </c>
      <c r="M358" s="1">
        <f>_xlfn.XLOOKUP($C358,'Plaza SP Tar'!$C:$C,'Plaza SP Tar'!I:I)</f>
        <v>3368111.9932720661</v>
      </c>
      <c r="N358" s="1">
        <v>40000</v>
      </c>
      <c r="O358" s="1">
        <f>_xlfn.XLOOKUP($C358,'Plaza SP Tar'!$C:$C,'Plaza SP Tar'!J:J)</f>
        <v>3627197.531216071</v>
      </c>
      <c r="P358" s="1">
        <v>45000</v>
      </c>
      <c r="Q358" s="1">
        <f>_xlfn.XLOOKUP($C358,'Plaza SP Tar'!$C:$C,'Plaza SP Tar'!K:K)</f>
        <v>3886283.0691600763</v>
      </c>
      <c r="R358">
        <v>50000</v>
      </c>
    </row>
    <row r="359" spans="1:18" x14ac:dyDescent="0.25">
      <c r="A359" t="s">
        <v>387</v>
      </c>
      <c r="B359" t="s">
        <v>388</v>
      </c>
      <c r="C359" t="s">
        <v>391</v>
      </c>
      <c r="D359" s="1">
        <v>2024706</v>
      </c>
      <c r="E359" s="1">
        <f>_xlfn.XLOOKUP($C359,'Plaza SP Tar'!$C:$C,'Plaza SP Tar'!E:E)</f>
        <v>2210031.4016200039</v>
      </c>
      <c r="F359" s="1">
        <v>10000</v>
      </c>
      <c r="G359" s="1">
        <f>_xlfn.XLOOKUP($C359,'Plaza SP Tar'!$C:$C,'Plaza SP Tar'!F:F)</f>
        <v>2525750.1732800044</v>
      </c>
      <c r="H359" s="1">
        <v>18000</v>
      </c>
      <c r="I359" s="1">
        <f>_xlfn.XLOOKUP($C359,'Plaza SP Tar'!$C:$C,'Plaza SP Tar'!G:G)</f>
        <v>2778325.1906080046</v>
      </c>
      <c r="J359" s="1">
        <v>25000</v>
      </c>
      <c r="K359" s="1">
        <f>_xlfn.XLOOKUP($C359,'Plaza SP Tar'!$C:$C,'Plaza SP Tar'!H:H)</f>
        <v>3030900.2079360052</v>
      </c>
      <c r="L359" s="1">
        <v>30000</v>
      </c>
      <c r="M359" s="1">
        <f>_xlfn.XLOOKUP($C359,'Plaza SP Tar'!$C:$C,'Plaza SP Tar'!I:I)</f>
        <v>3283475.2252640058</v>
      </c>
      <c r="N359" s="1">
        <v>40000</v>
      </c>
      <c r="O359" s="1">
        <f>_xlfn.XLOOKUP($C359,'Plaza SP Tar'!$C:$C,'Plaza SP Tar'!J:J)</f>
        <v>3536050.242592006</v>
      </c>
      <c r="P359" s="1">
        <v>45000</v>
      </c>
      <c r="Q359" s="1">
        <f>_xlfn.XLOOKUP($C359,'Plaza SP Tar'!$C:$C,'Plaza SP Tar'!K:K)</f>
        <v>3788625.2599200062</v>
      </c>
      <c r="R359">
        <v>50000</v>
      </c>
    </row>
    <row r="360" spans="1:18" x14ac:dyDescent="0.25">
      <c r="A360" t="s">
        <v>387</v>
      </c>
      <c r="B360" t="s">
        <v>388</v>
      </c>
      <c r="C360" t="s">
        <v>392</v>
      </c>
      <c r="D360" s="1">
        <v>7797473</v>
      </c>
      <c r="E360" s="1">
        <f>_xlfn.XLOOKUP($C360,'Plaza SP Tar'!$C:$C,'Plaza SP Tar'!E:E)</f>
        <v>8511191.3449578043</v>
      </c>
      <c r="F360" s="1">
        <v>10000</v>
      </c>
      <c r="G360" s="1">
        <f>_xlfn.XLOOKUP($C360,'Plaza SP Tar'!$C:$C,'Plaza SP Tar'!F:F)</f>
        <v>9727075.8228089195</v>
      </c>
      <c r="H360" s="1">
        <v>18000</v>
      </c>
      <c r="I360" s="1">
        <f>_xlfn.XLOOKUP($C360,'Plaza SP Tar'!$C:$C,'Plaza SP Tar'!G:G)</f>
        <v>10699783.40508981</v>
      </c>
      <c r="J360" s="1">
        <v>25000</v>
      </c>
      <c r="K360" s="1">
        <f>_xlfn.XLOOKUP($C360,'Plaza SP Tar'!$C:$C,'Plaza SP Tar'!H:H)</f>
        <v>11672490.987370702</v>
      </c>
      <c r="L360" s="1">
        <v>30000</v>
      </c>
      <c r="M360" s="1">
        <f>_xlfn.XLOOKUP($C360,'Plaza SP Tar'!$C:$C,'Plaza SP Tar'!I:I)</f>
        <v>12645198.569651594</v>
      </c>
      <c r="N360" s="1">
        <v>40000</v>
      </c>
      <c r="O360" s="1">
        <f>_xlfn.XLOOKUP($C360,'Plaza SP Tar'!$C:$C,'Plaza SP Tar'!J:J)</f>
        <v>13617906.151932485</v>
      </c>
      <c r="P360" s="1">
        <v>45000</v>
      </c>
      <c r="Q360" s="1">
        <f>_xlfn.XLOOKUP($C360,'Plaza SP Tar'!$C:$C,'Plaza SP Tar'!K:K)</f>
        <v>14590613.734213378</v>
      </c>
      <c r="R360">
        <v>50000</v>
      </c>
    </row>
    <row r="361" spans="1:18" x14ac:dyDescent="0.25">
      <c r="A361" t="s">
        <v>387</v>
      </c>
      <c r="B361" t="s">
        <v>388</v>
      </c>
      <c r="C361" t="s">
        <v>393</v>
      </c>
      <c r="D361" s="1">
        <v>6863743</v>
      </c>
      <c r="E361" s="1">
        <f>_xlfn.XLOOKUP($C361,'Plaza SP Tar'!$C:$C,'Plaza SP Tar'!E:E)</f>
        <v>7491995.1650508717</v>
      </c>
      <c r="F361" s="1">
        <v>10000</v>
      </c>
      <c r="G361" s="1">
        <f>_xlfn.XLOOKUP($C361,'Plaza SP Tar'!$C:$C,'Plaza SP Tar'!F:F)</f>
        <v>8562280.1886295676</v>
      </c>
      <c r="H361" s="1">
        <v>18000</v>
      </c>
      <c r="I361" s="1">
        <f>_xlfn.XLOOKUP($C361,'Plaza SP Tar'!$C:$C,'Plaza SP Tar'!G:G)</f>
        <v>9418508.2074925229</v>
      </c>
      <c r="J361" s="1">
        <v>25000</v>
      </c>
      <c r="K361" s="1">
        <f>_xlfn.XLOOKUP($C361,'Plaza SP Tar'!$C:$C,'Plaza SP Tar'!H:H)</f>
        <v>10274736.22635548</v>
      </c>
      <c r="L361" s="1">
        <v>30000</v>
      </c>
      <c r="M361" s="1">
        <f>_xlfn.XLOOKUP($C361,'Plaza SP Tar'!$C:$C,'Plaza SP Tar'!I:I)</f>
        <v>11130964.245218437</v>
      </c>
      <c r="N361" s="1">
        <v>40000</v>
      </c>
      <c r="O361" s="1">
        <f>_xlfn.XLOOKUP($C361,'Plaza SP Tar'!$C:$C,'Plaza SP Tar'!J:J)</f>
        <v>11987192.264081392</v>
      </c>
      <c r="P361" s="1">
        <v>45000</v>
      </c>
      <c r="Q361" s="1">
        <f>_xlfn.XLOOKUP($C361,'Plaza SP Tar'!$C:$C,'Plaza SP Tar'!K:K)</f>
        <v>12843420.282944351</v>
      </c>
      <c r="R361">
        <v>50000</v>
      </c>
    </row>
    <row r="362" spans="1:18" x14ac:dyDescent="0.25">
      <c r="A362" t="s">
        <v>387</v>
      </c>
      <c r="B362" t="s">
        <v>388</v>
      </c>
      <c r="C362" t="s">
        <v>394</v>
      </c>
      <c r="D362" s="1">
        <v>3038348</v>
      </c>
      <c r="E362" s="1">
        <f>_xlfn.XLOOKUP($C362,'Plaza SP Tar'!$C:$C,'Plaza SP Tar'!E:E)</f>
        <v>3316454.0871856632</v>
      </c>
      <c r="F362" s="1">
        <v>10000</v>
      </c>
      <c r="G362" s="1">
        <f>_xlfn.XLOOKUP($C362,'Plaza SP Tar'!$C:$C,'Plaza SP Tar'!F:F)</f>
        <v>3790233.242497901</v>
      </c>
      <c r="H362" s="1">
        <v>18000</v>
      </c>
      <c r="I362" s="1">
        <f>_xlfn.XLOOKUP($C362,'Plaza SP Tar'!$C:$C,'Plaza SP Tar'!G:G)</f>
        <v>4169256.5667476906</v>
      </c>
      <c r="J362" s="1">
        <v>25000</v>
      </c>
      <c r="K362" s="1">
        <f>_xlfn.XLOOKUP($C362,'Plaza SP Tar'!$C:$C,'Plaza SP Tar'!H:H)</f>
        <v>4548279.8909974806</v>
      </c>
      <c r="L362" s="1">
        <v>30000</v>
      </c>
      <c r="M362" s="1">
        <f>_xlfn.XLOOKUP($C362,'Plaza SP Tar'!$C:$C,'Plaza SP Tar'!I:I)</f>
        <v>4927303.2152472707</v>
      </c>
      <c r="N362" s="1">
        <v>40000</v>
      </c>
      <c r="O362" s="1">
        <f>_xlfn.XLOOKUP($C362,'Plaza SP Tar'!$C:$C,'Plaza SP Tar'!J:J)</f>
        <v>5306326.5394970607</v>
      </c>
      <c r="P362" s="1">
        <v>45000</v>
      </c>
      <c r="Q362" s="1">
        <f>_xlfn.XLOOKUP($C362,'Plaza SP Tar'!$C:$C,'Plaza SP Tar'!K:K)</f>
        <v>5685349.8637468508</v>
      </c>
      <c r="R362">
        <v>50000</v>
      </c>
    </row>
    <row r="363" spans="1:18" x14ac:dyDescent="0.25">
      <c r="A363" t="s">
        <v>387</v>
      </c>
      <c r="B363" t="s">
        <v>388</v>
      </c>
      <c r="C363" t="s">
        <v>395</v>
      </c>
      <c r="D363" s="1">
        <v>3905649</v>
      </c>
      <c r="E363" s="1">
        <f>_xlfn.XLOOKUP($C363,'Plaza SP Tar'!$C:$C,'Plaza SP Tar'!E:E)</f>
        <v>4263140.8874699669</v>
      </c>
      <c r="F363" s="1">
        <v>10000</v>
      </c>
      <c r="G363" s="1">
        <f>_xlfn.XLOOKUP($C363,'Plaza SP Tar'!$C:$C,'Plaza SP Tar'!F:F)</f>
        <v>4872161.0142513905</v>
      </c>
      <c r="H363" s="1">
        <v>18000</v>
      </c>
      <c r="I363" s="1">
        <f>_xlfn.XLOOKUP($C363,'Plaza SP Tar'!$C:$C,'Plaza SP Tar'!G:G)</f>
        <v>5359377.1156765288</v>
      </c>
      <c r="J363" s="1">
        <v>25000</v>
      </c>
      <c r="K363" s="1">
        <f>_xlfn.XLOOKUP($C363,'Plaza SP Tar'!$C:$C,'Plaza SP Tar'!H:H)</f>
        <v>5846593.217101668</v>
      </c>
      <c r="L363" s="1">
        <v>30000</v>
      </c>
      <c r="M363" s="1">
        <f>_xlfn.XLOOKUP($C363,'Plaza SP Tar'!$C:$C,'Plaza SP Tar'!I:I)</f>
        <v>6333809.3185268072</v>
      </c>
      <c r="N363" s="1">
        <v>40000</v>
      </c>
      <c r="O363" s="1">
        <f>_xlfn.XLOOKUP($C363,'Plaza SP Tar'!$C:$C,'Plaza SP Tar'!J:J)</f>
        <v>6821025.4199519465</v>
      </c>
      <c r="P363" s="1">
        <v>45000</v>
      </c>
      <c r="Q363" s="1">
        <f>_xlfn.XLOOKUP($C363,'Plaza SP Tar'!$C:$C,'Plaza SP Tar'!K:K)</f>
        <v>7308241.5213770857</v>
      </c>
      <c r="R363">
        <v>50000</v>
      </c>
    </row>
    <row r="364" spans="1:18" x14ac:dyDescent="0.25">
      <c r="A364" t="s">
        <v>387</v>
      </c>
      <c r="B364" t="s">
        <v>388</v>
      </c>
      <c r="C364" t="s">
        <v>396</v>
      </c>
      <c r="D364" s="1">
        <v>6199825</v>
      </c>
      <c r="E364" s="1">
        <f>_xlfn.XLOOKUP($C364,'Plaza SP Tar'!$C:$C,'Plaza SP Tar'!E:E)</f>
        <v>6767307.4187307889</v>
      </c>
      <c r="F364" s="1">
        <v>10000</v>
      </c>
      <c r="G364" s="1">
        <f>_xlfn.XLOOKUP($C364,'Plaza SP Tar'!$C:$C,'Plaza SP Tar'!F:F)</f>
        <v>7734065.6214066157</v>
      </c>
      <c r="H364" s="1">
        <v>18000</v>
      </c>
      <c r="I364" s="1">
        <f>_xlfn.XLOOKUP($C364,'Plaza SP Tar'!$C:$C,'Plaza SP Tar'!G:G)</f>
        <v>8507472.183547277</v>
      </c>
      <c r="J364" s="1">
        <v>25000</v>
      </c>
      <c r="K364" s="1">
        <f>_xlfn.XLOOKUP($C364,'Plaza SP Tar'!$C:$C,'Plaza SP Tar'!H:H)</f>
        <v>9280878.7456879374</v>
      </c>
      <c r="L364" s="1">
        <v>30000</v>
      </c>
      <c r="M364" s="1">
        <f>_xlfn.XLOOKUP($C364,'Plaza SP Tar'!$C:$C,'Plaza SP Tar'!I:I)</f>
        <v>10054285.3078286</v>
      </c>
      <c r="N364" s="1">
        <v>40000</v>
      </c>
      <c r="O364" s="1">
        <f>_xlfn.XLOOKUP($C364,'Plaza SP Tar'!$C:$C,'Plaza SP Tar'!J:J)</f>
        <v>10827691.86996926</v>
      </c>
      <c r="P364" s="1">
        <v>45000</v>
      </c>
      <c r="Q364" s="1">
        <f>_xlfn.XLOOKUP($C364,'Plaza SP Tar'!$C:$C,'Plaza SP Tar'!K:K)</f>
        <v>11601098.432109922</v>
      </c>
      <c r="R364">
        <v>50000</v>
      </c>
    </row>
    <row r="365" spans="1:18" x14ac:dyDescent="0.25">
      <c r="A365" t="s">
        <v>387</v>
      </c>
      <c r="B365" t="s">
        <v>388</v>
      </c>
      <c r="C365" t="s">
        <v>397</v>
      </c>
      <c r="D365" s="1">
        <v>3817373</v>
      </c>
      <c r="E365" s="1">
        <f>_xlfn.XLOOKUP($C365,'Plaza SP Tar'!$C:$C,'Plaza SP Tar'!E:E)</f>
        <v>4166784.8081135526</v>
      </c>
      <c r="F365" s="1">
        <v>10000</v>
      </c>
      <c r="G365" s="1">
        <f>_xlfn.XLOOKUP($C365,'Plaza SP Tar'!$C:$C,'Plaza SP Tar'!F:F)</f>
        <v>4762039.7807012033</v>
      </c>
      <c r="H365" s="1">
        <v>18000</v>
      </c>
      <c r="I365" s="1">
        <f>_xlfn.XLOOKUP($C365,'Plaza SP Tar'!$C:$C,'Plaza SP Tar'!G:G)</f>
        <v>5238243.7587713227</v>
      </c>
      <c r="J365" s="1">
        <v>25000</v>
      </c>
      <c r="K365" s="1">
        <f>_xlfn.XLOOKUP($C365,'Plaza SP Tar'!$C:$C,'Plaza SP Tar'!H:H)</f>
        <v>5714447.736841443</v>
      </c>
      <c r="L365" s="1">
        <v>30000</v>
      </c>
      <c r="M365" s="1">
        <f>_xlfn.XLOOKUP($C365,'Plaza SP Tar'!$C:$C,'Plaza SP Tar'!I:I)</f>
        <v>6190651.7149115643</v>
      </c>
      <c r="N365" s="1">
        <v>40000</v>
      </c>
      <c r="O365" s="1">
        <f>_xlfn.XLOOKUP($C365,'Plaza SP Tar'!$C:$C,'Plaza SP Tar'!J:J)</f>
        <v>6666855.6929816836</v>
      </c>
      <c r="P365" s="1">
        <v>45000</v>
      </c>
      <c r="Q365" s="1">
        <f>_xlfn.XLOOKUP($C365,'Plaza SP Tar'!$C:$C,'Plaza SP Tar'!K:K)</f>
        <v>7143059.671051804</v>
      </c>
      <c r="R365">
        <v>50000</v>
      </c>
    </row>
    <row r="366" spans="1:18" x14ac:dyDescent="0.25">
      <c r="A366" t="s">
        <v>387</v>
      </c>
      <c r="B366" t="s">
        <v>388</v>
      </c>
      <c r="C366" t="s">
        <v>398</v>
      </c>
      <c r="D366" s="1">
        <v>2442643</v>
      </c>
      <c r="E366" s="1">
        <f>_xlfn.XLOOKUP($C366,'Plaza SP Tar'!$C:$C,'Plaza SP Tar'!E:E)</f>
        <v>2666223.0135868075</v>
      </c>
      <c r="F366" s="1">
        <v>10000</v>
      </c>
      <c r="G366" s="1">
        <f>_xlfn.XLOOKUP($C366,'Plaza SP Tar'!$C:$C,'Plaza SP Tar'!F:F)</f>
        <v>3047112.0155277802</v>
      </c>
      <c r="H366" s="1">
        <v>18000</v>
      </c>
      <c r="I366" s="1">
        <f>_xlfn.XLOOKUP($C366,'Plaza SP Tar'!$C:$C,'Plaza SP Tar'!G:G)</f>
        <v>3351823.2170805577</v>
      </c>
      <c r="J366" s="1">
        <v>25000</v>
      </c>
      <c r="K366" s="1">
        <f>_xlfn.XLOOKUP($C366,'Plaza SP Tar'!$C:$C,'Plaza SP Tar'!H:H)</f>
        <v>3656534.4186333362</v>
      </c>
      <c r="L366" s="1">
        <v>30000</v>
      </c>
      <c r="M366" s="1">
        <f>_xlfn.XLOOKUP($C366,'Plaza SP Tar'!$C:$C,'Plaza SP Tar'!I:I)</f>
        <v>3961245.6201861142</v>
      </c>
      <c r="N366" s="1">
        <v>40000</v>
      </c>
      <c r="O366" s="1">
        <f>_xlfn.XLOOKUP($C366,'Plaza SP Tar'!$C:$C,'Plaza SP Tar'!J:J)</f>
        <v>4265956.8217388922</v>
      </c>
      <c r="P366" s="1">
        <v>45000</v>
      </c>
      <c r="Q366" s="1">
        <f>_xlfn.XLOOKUP($C366,'Plaza SP Tar'!$C:$C,'Plaza SP Tar'!K:K)</f>
        <v>4570668.0232916698</v>
      </c>
      <c r="R366">
        <v>50000</v>
      </c>
    </row>
    <row r="367" spans="1:18" x14ac:dyDescent="0.25">
      <c r="A367" t="s">
        <v>387</v>
      </c>
      <c r="B367" t="s">
        <v>388</v>
      </c>
      <c r="C367" t="s">
        <v>399</v>
      </c>
      <c r="D367" s="1">
        <v>2949246</v>
      </c>
      <c r="E367" s="1">
        <f>_xlfn.XLOOKUP($C367,'Plaza SP Tar'!$C:$C,'Plaza SP Tar'!E:E)</f>
        <v>3219196.4023923422</v>
      </c>
      <c r="F367" s="1">
        <v>10000</v>
      </c>
      <c r="G367" s="1">
        <f>_xlfn.XLOOKUP($C367,'Plaza SP Tar'!$C:$C,'Plaza SP Tar'!F:F)</f>
        <v>3679081.6027341057</v>
      </c>
      <c r="H367" s="1">
        <v>18000</v>
      </c>
      <c r="I367" s="1">
        <f>_xlfn.XLOOKUP($C367,'Plaza SP Tar'!$C:$C,'Plaza SP Tar'!G:G)</f>
        <v>4046989.7630075156</v>
      </c>
      <c r="J367" s="1">
        <v>25000</v>
      </c>
      <c r="K367" s="1">
        <f>_xlfn.XLOOKUP($C367,'Plaza SP Tar'!$C:$C,'Plaza SP Tar'!H:H)</f>
        <v>4414897.9232809264</v>
      </c>
      <c r="L367" s="1">
        <v>30000</v>
      </c>
      <c r="M367" s="1">
        <f>_xlfn.XLOOKUP($C367,'Plaza SP Tar'!$C:$C,'Plaza SP Tar'!I:I)</f>
        <v>4782806.0835543368</v>
      </c>
      <c r="N367" s="1">
        <v>40000</v>
      </c>
      <c r="O367" s="1">
        <f>_xlfn.XLOOKUP($C367,'Plaza SP Tar'!$C:$C,'Plaza SP Tar'!J:J)</f>
        <v>5150714.2438277472</v>
      </c>
      <c r="P367" s="1">
        <v>45000</v>
      </c>
      <c r="Q367" s="1">
        <f>_xlfn.XLOOKUP($C367,'Plaza SP Tar'!$C:$C,'Plaza SP Tar'!K:K)</f>
        <v>5518622.4041011576</v>
      </c>
      <c r="R367">
        <v>50000</v>
      </c>
    </row>
    <row r="368" spans="1:18" x14ac:dyDescent="0.25">
      <c r="A368" t="s">
        <v>387</v>
      </c>
      <c r="B368" t="s">
        <v>388</v>
      </c>
      <c r="C368" t="s">
        <v>400</v>
      </c>
      <c r="D368" s="1">
        <v>2847843</v>
      </c>
      <c r="E368" s="1">
        <f>_xlfn.XLOOKUP($C368,'Plaza SP Tar'!$C:$C,'Plaza SP Tar'!E:E)</f>
        <v>3108511.7823939458</v>
      </c>
      <c r="F368" s="1">
        <v>10000</v>
      </c>
      <c r="G368" s="1">
        <f>_xlfn.XLOOKUP($C368,'Plaza SP Tar'!$C:$C,'Plaza SP Tar'!F:F)</f>
        <v>3552584.8941645096</v>
      </c>
      <c r="H368" s="1">
        <v>18000</v>
      </c>
      <c r="I368" s="1">
        <f>_xlfn.XLOOKUP($C368,'Plaza SP Tar'!$C:$C,'Plaza SP Tar'!G:G)</f>
        <v>3907843.3835809599</v>
      </c>
      <c r="J368" s="1">
        <v>25000</v>
      </c>
      <c r="K368" s="1">
        <f>_xlfn.XLOOKUP($C368,'Plaza SP Tar'!$C:$C,'Plaza SP Tar'!H:H)</f>
        <v>4263101.8729974115</v>
      </c>
      <c r="L368" s="1">
        <v>30000</v>
      </c>
      <c r="M368" s="1">
        <f>_xlfn.XLOOKUP($C368,'Plaza SP Tar'!$C:$C,'Plaza SP Tar'!I:I)</f>
        <v>4618360.3624138627</v>
      </c>
      <c r="N368" s="1">
        <v>40000</v>
      </c>
      <c r="O368" s="1">
        <f>_xlfn.XLOOKUP($C368,'Plaza SP Tar'!$C:$C,'Plaza SP Tar'!J:J)</f>
        <v>4973618.851830313</v>
      </c>
      <c r="P368" s="1">
        <v>45000</v>
      </c>
      <c r="Q368" s="1">
        <f>_xlfn.XLOOKUP($C368,'Plaza SP Tar'!$C:$C,'Plaza SP Tar'!K:K)</f>
        <v>5328877.3412467642</v>
      </c>
      <c r="R368">
        <v>50000</v>
      </c>
    </row>
    <row r="369" spans="1:18" x14ac:dyDescent="0.25">
      <c r="A369" t="s">
        <v>387</v>
      </c>
      <c r="B369" t="s">
        <v>388</v>
      </c>
      <c r="C369" t="s">
        <v>401</v>
      </c>
      <c r="D369" s="1">
        <v>2066913</v>
      </c>
      <c r="E369" s="1">
        <f>_xlfn.XLOOKUP($C369,'Plaza SP Tar'!$C:$C,'Plaza SP Tar'!E:E)</f>
        <v>2256101.6929947394</v>
      </c>
      <c r="F369" s="1">
        <v>10000</v>
      </c>
      <c r="G369" s="1">
        <f>_xlfn.XLOOKUP($C369,'Plaza SP Tar'!$C:$C,'Plaza SP Tar'!F:F)</f>
        <v>2578401.9348511309</v>
      </c>
      <c r="H369" s="1">
        <v>18000</v>
      </c>
      <c r="I369" s="1">
        <f>_xlfn.XLOOKUP($C369,'Plaza SP Tar'!$C:$C,'Plaza SP Tar'!G:G)</f>
        <v>2836242.1283362438</v>
      </c>
      <c r="J369" s="1">
        <v>25000</v>
      </c>
      <c r="K369" s="1">
        <f>_xlfn.XLOOKUP($C369,'Plaza SP Tar'!$C:$C,'Plaza SP Tar'!H:H)</f>
        <v>3094082.3218213567</v>
      </c>
      <c r="L369" s="1">
        <v>30000</v>
      </c>
      <c r="M369" s="1">
        <f>_xlfn.XLOOKUP($C369,'Plaza SP Tar'!$C:$C,'Plaza SP Tar'!I:I)</f>
        <v>3351922.51530647</v>
      </c>
      <c r="N369" s="1">
        <v>40000</v>
      </c>
      <c r="O369" s="1">
        <f>_xlfn.XLOOKUP($C369,'Plaza SP Tar'!$C:$C,'Plaza SP Tar'!J:J)</f>
        <v>3609762.7087915828</v>
      </c>
      <c r="P369" s="1">
        <v>45000</v>
      </c>
      <c r="Q369" s="1">
        <f>_xlfn.XLOOKUP($C369,'Plaza SP Tar'!$C:$C,'Plaza SP Tar'!K:K)</f>
        <v>3867602.9022766962</v>
      </c>
      <c r="R369">
        <v>50000</v>
      </c>
    </row>
    <row r="370" spans="1:18" x14ac:dyDescent="0.25">
      <c r="A370" t="s">
        <v>387</v>
      </c>
      <c r="B370" t="s">
        <v>388</v>
      </c>
      <c r="C370" t="s">
        <v>402</v>
      </c>
      <c r="D370" s="1">
        <v>2430753</v>
      </c>
      <c r="E370" s="1">
        <f>_xlfn.XLOOKUP($C370,'Plaza SP Tar'!$C:$C,'Plaza SP Tar'!E:E)</f>
        <v>2653244.6980361738</v>
      </c>
      <c r="F370" s="1">
        <v>10000</v>
      </c>
      <c r="G370" s="1">
        <f>_xlfn.XLOOKUP($C370,'Plaza SP Tar'!$C:$C,'Plaza SP Tar'!F:F)</f>
        <v>3032279.6548984842</v>
      </c>
      <c r="H370" s="1">
        <v>18000</v>
      </c>
      <c r="I370" s="1">
        <f>_xlfn.XLOOKUP($C370,'Plaza SP Tar'!$C:$C,'Plaza SP Tar'!G:G)</f>
        <v>3335507.6203883323</v>
      </c>
      <c r="J370" s="1">
        <v>25000</v>
      </c>
      <c r="K370" s="1">
        <f>_xlfn.XLOOKUP($C370,'Plaza SP Tar'!$C:$C,'Plaza SP Tar'!H:H)</f>
        <v>3638735.5858781808</v>
      </c>
      <c r="L370" s="1">
        <v>30000</v>
      </c>
      <c r="M370" s="1">
        <f>_xlfn.XLOOKUP($C370,'Plaza SP Tar'!$C:$C,'Plaza SP Tar'!I:I)</f>
        <v>3941963.5513680293</v>
      </c>
      <c r="N370" s="1">
        <v>40000</v>
      </c>
      <c r="O370" s="1">
        <f>_xlfn.XLOOKUP($C370,'Plaza SP Tar'!$C:$C,'Plaza SP Tar'!J:J)</f>
        <v>4245191.5168578774</v>
      </c>
      <c r="P370" s="1">
        <v>45000</v>
      </c>
      <c r="Q370" s="1">
        <f>_xlfn.XLOOKUP($C370,'Plaza SP Tar'!$C:$C,'Plaza SP Tar'!K:K)</f>
        <v>4548419.4823477259</v>
      </c>
      <c r="R370">
        <v>50000</v>
      </c>
    </row>
    <row r="371" spans="1:18" x14ac:dyDescent="0.25">
      <c r="A371" t="s">
        <v>387</v>
      </c>
      <c r="B371" t="s">
        <v>388</v>
      </c>
      <c r="C371" t="s">
        <v>403</v>
      </c>
      <c r="D371" s="1">
        <v>2609337</v>
      </c>
      <c r="E371" s="1">
        <f>_xlfn.XLOOKUP($C371,'Plaza SP Tar'!$C:$C,'Plaza SP Tar'!E:E)</f>
        <v>2848174.8497850732</v>
      </c>
      <c r="F371" s="1">
        <v>10000</v>
      </c>
      <c r="G371" s="1">
        <f>_xlfn.XLOOKUP($C371,'Plaza SP Tar'!$C:$C,'Plaza SP Tar'!F:F)</f>
        <v>3255056.9711829405</v>
      </c>
      <c r="H371" s="1">
        <v>18000</v>
      </c>
      <c r="I371" s="1">
        <f>_xlfn.XLOOKUP($C371,'Plaza SP Tar'!$C:$C,'Plaza SP Tar'!G:G)</f>
        <v>3580562.668301234</v>
      </c>
      <c r="J371" s="1">
        <v>25000</v>
      </c>
      <c r="K371" s="1">
        <f>_xlfn.XLOOKUP($C371,'Plaza SP Tar'!$C:$C,'Plaza SP Tar'!H:H)</f>
        <v>3906068.3654195284</v>
      </c>
      <c r="L371" s="1">
        <v>30000</v>
      </c>
      <c r="M371" s="1">
        <f>_xlfn.XLOOKUP($C371,'Plaza SP Tar'!$C:$C,'Plaza SP Tar'!I:I)</f>
        <v>4231574.0625378229</v>
      </c>
      <c r="N371" s="1">
        <v>40000</v>
      </c>
      <c r="O371" s="1">
        <f>_xlfn.XLOOKUP($C371,'Plaza SP Tar'!$C:$C,'Plaza SP Tar'!J:J)</f>
        <v>4557079.7596561164</v>
      </c>
      <c r="P371" s="1">
        <v>45000</v>
      </c>
      <c r="Q371" s="1">
        <f>_xlfn.XLOOKUP($C371,'Plaza SP Tar'!$C:$C,'Plaza SP Tar'!K:K)</f>
        <v>4882585.4567744108</v>
      </c>
      <c r="R371">
        <v>50000</v>
      </c>
    </row>
    <row r="372" spans="1:18" x14ac:dyDescent="0.25">
      <c r="A372" t="s">
        <v>387</v>
      </c>
      <c r="B372" t="s">
        <v>388</v>
      </c>
      <c r="C372" t="s">
        <v>404</v>
      </c>
      <c r="D372" s="1">
        <v>5722627</v>
      </c>
      <c r="E372" s="1">
        <f>_xlfn.XLOOKUP($C372,'Plaza SP Tar'!$C:$C,'Plaza SP Tar'!E:E)</f>
        <v>6246430.5285599381</v>
      </c>
      <c r="F372" s="1">
        <v>10000</v>
      </c>
      <c r="G372" s="1">
        <f>_xlfn.XLOOKUP($C372,'Plaza SP Tar'!$C:$C,'Plaza SP Tar'!F:F)</f>
        <v>7138777.7469256436</v>
      </c>
      <c r="H372" s="1">
        <v>18000</v>
      </c>
      <c r="I372" s="1">
        <f>_xlfn.XLOOKUP($C372,'Plaza SP Tar'!$C:$C,'Plaza SP Tar'!G:G)</f>
        <v>7852655.521618207</v>
      </c>
      <c r="J372" s="1">
        <v>25000</v>
      </c>
      <c r="K372" s="1">
        <f>_xlfn.XLOOKUP($C372,'Plaza SP Tar'!$C:$C,'Plaza SP Tar'!H:H)</f>
        <v>8566533.2963107713</v>
      </c>
      <c r="L372" s="1">
        <v>30000</v>
      </c>
      <c r="M372" s="1">
        <f>_xlfn.XLOOKUP($C372,'Plaza SP Tar'!$C:$C,'Plaza SP Tar'!I:I)</f>
        <v>9280411.0710033365</v>
      </c>
      <c r="N372" s="1">
        <v>40000</v>
      </c>
      <c r="O372" s="1">
        <f>_xlfn.XLOOKUP($C372,'Plaza SP Tar'!$C:$C,'Plaza SP Tar'!J:J)</f>
        <v>9994288.8456958998</v>
      </c>
      <c r="P372" s="1">
        <v>45000</v>
      </c>
      <c r="Q372" s="1">
        <f>_xlfn.XLOOKUP($C372,'Plaza SP Tar'!$C:$C,'Plaza SP Tar'!K:K)</f>
        <v>10708166.620388465</v>
      </c>
      <c r="R372">
        <v>50000</v>
      </c>
    </row>
    <row r="373" spans="1:18" x14ac:dyDescent="0.25">
      <c r="A373" t="s">
        <v>387</v>
      </c>
      <c r="B373" t="s">
        <v>388</v>
      </c>
      <c r="C373" t="s">
        <v>405</v>
      </c>
      <c r="D373" s="1">
        <v>2576603</v>
      </c>
      <c r="E373" s="1">
        <f>_xlfn.XLOOKUP($C373,'Plaza SP Tar'!$C:$C,'Plaza SP Tar'!E:E)</f>
        <v>2812444.6411026129</v>
      </c>
      <c r="F373" s="1">
        <v>10000</v>
      </c>
      <c r="G373" s="1">
        <f>_xlfn.XLOOKUP($C373,'Plaza SP Tar'!$C:$C,'Plaza SP Tar'!F:F)</f>
        <v>3214222.4469744144</v>
      </c>
      <c r="H373" s="1">
        <v>18000</v>
      </c>
      <c r="I373" s="1">
        <f>_xlfn.XLOOKUP($C373,'Plaza SP Tar'!$C:$C,'Plaza SP Tar'!G:G)</f>
        <v>3535644.6916718557</v>
      </c>
      <c r="J373" s="1">
        <v>25000</v>
      </c>
      <c r="K373" s="1">
        <f>_xlfn.XLOOKUP($C373,'Plaza SP Tar'!$C:$C,'Plaza SP Tar'!H:H)</f>
        <v>3857066.9363692971</v>
      </c>
      <c r="L373" s="1">
        <v>30000</v>
      </c>
      <c r="M373" s="1">
        <f>_xlfn.XLOOKUP($C373,'Plaza SP Tar'!$C:$C,'Plaza SP Tar'!I:I)</f>
        <v>4178489.1810667389</v>
      </c>
      <c r="N373" s="1">
        <v>40000</v>
      </c>
      <c r="O373" s="1">
        <f>_xlfn.XLOOKUP($C373,'Plaza SP Tar'!$C:$C,'Plaza SP Tar'!J:J)</f>
        <v>4499911.4257641798</v>
      </c>
      <c r="P373" s="1">
        <v>45000</v>
      </c>
      <c r="Q373" s="1">
        <f>_xlfn.XLOOKUP($C373,'Plaza SP Tar'!$C:$C,'Plaza SP Tar'!K:K)</f>
        <v>4821333.6704616221</v>
      </c>
      <c r="R373">
        <v>50000</v>
      </c>
    </row>
    <row r="374" spans="1:18" x14ac:dyDescent="0.25">
      <c r="A374" t="s">
        <v>387</v>
      </c>
      <c r="B374" t="s">
        <v>406</v>
      </c>
      <c r="C374" t="s">
        <v>407</v>
      </c>
      <c r="D374" s="1">
        <v>4454678</v>
      </c>
      <c r="E374" s="1">
        <f>_xlfn.XLOOKUP($C374,'Plaza SP Tar'!$C:$C,'Plaza SP Tar'!E:E)</f>
        <v>4862423.6131595382</v>
      </c>
      <c r="F374" s="1">
        <v>10000</v>
      </c>
      <c r="G374" s="1">
        <f>_xlfn.XLOOKUP($C374,'Plaza SP Tar'!$C:$C,'Plaza SP Tar'!F:F)</f>
        <v>5557055.557896615</v>
      </c>
      <c r="H374" s="1">
        <v>18000</v>
      </c>
      <c r="I374" s="1">
        <f>_xlfn.XLOOKUP($C374,'Plaza SP Tar'!$C:$C,'Plaza SP Tar'!G:G)</f>
        <v>6112761.1136862757</v>
      </c>
      <c r="J374" s="1">
        <v>25000</v>
      </c>
      <c r="K374" s="1">
        <f>_xlfn.XLOOKUP($C374,'Plaza SP Tar'!$C:$C,'Plaza SP Tar'!H:H)</f>
        <v>6668466.6694759373</v>
      </c>
      <c r="L374" s="1">
        <v>30000</v>
      </c>
      <c r="M374" s="1">
        <f>_xlfn.XLOOKUP($C374,'Plaza SP Tar'!$C:$C,'Plaza SP Tar'!I:I)</f>
        <v>7224172.2252655989</v>
      </c>
      <c r="N374" s="1">
        <v>40000</v>
      </c>
      <c r="O374" s="1">
        <f>_xlfn.XLOOKUP($C374,'Plaza SP Tar'!$C:$C,'Plaza SP Tar'!J:J)</f>
        <v>7779877.7810552595</v>
      </c>
      <c r="P374" s="1">
        <v>45000</v>
      </c>
      <c r="Q374" s="1">
        <f>_xlfn.XLOOKUP($C374,'Plaza SP Tar'!$C:$C,'Plaza SP Tar'!K:K)</f>
        <v>8335583.336844922</v>
      </c>
      <c r="R374">
        <v>50000</v>
      </c>
    </row>
    <row r="375" spans="1:18" x14ac:dyDescent="0.25">
      <c r="A375" t="s">
        <v>387</v>
      </c>
      <c r="B375" t="s">
        <v>406</v>
      </c>
      <c r="C375" t="s">
        <v>408</v>
      </c>
      <c r="D375" s="1">
        <v>1995619</v>
      </c>
      <c r="E375" s="1">
        <f>_xlfn.XLOOKUP($C375,'Plaza SP Tar'!$C:$C,'Plaza SP Tar'!E:E)</f>
        <v>2178282.0101632089</v>
      </c>
      <c r="F375" s="1">
        <v>10000</v>
      </c>
      <c r="G375" s="1">
        <f>_xlfn.XLOOKUP($C375,'Plaza SP Tar'!$C:$C,'Plaza SP Tar'!F:F)</f>
        <v>2489465.1544722388</v>
      </c>
      <c r="H375" s="1">
        <v>18000</v>
      </c>
      <c r="I375" s="1">
        <f>_xlfn.XLOOKUP($C375,'Plaza SP Tar'!$C:$C,'Plaza SP Tar'!G:G)</f>
        <v>2738411.6699194624</v>
      </c>
      <c r="J375" s="1">
        <v>25000</v>
      </c>
      <c r="K375" s="1">
        <f>_xlfn.XLOOKUP($C375,'Plaza SP Tar'!$C:$C,'Plaza SP Tar'!H:H)</f>
        <v>2987358.1853666864</v>
      </c>
      <c r="L375" s="1">
        <v>30000</v>
      </c>
      <c r="M375" s="1">
        <f>_xlfn.XLOOKUP($C375,'Plaza SP Tar'!$C:$C,'Plaza SP Tar'!I:I)</f>
        <v>3236304.7008139105</v>
      </c>
      <c r="N375" s="1">
        <v>40000</v>
      </c>
      <c r="O375" s="1">
        <f>_xlfn.XLOOKUP($C375,'Plaza SP Tar'!$C:$C,'Plaza SP Tar'!J:J)</f>
        <v>3485251.216261134</v>
      </c>
      <c r="P375" s="1">
        <v>45000</v>
      </c>
      <c r="Q375" s="1">
        <f>_xlfn.XLOOKUP($C375,'Plaza SP Tar'!$C:$C,'Plaza SP Tar'!K:K)</f>
        <v>3734197.731708358</v>
      </c>
      <c r="R375">
        <v>50000</v>
      </c>
    </row>
    <row r="376" spans="1:18" x14ac:dyDescent="0.25">
      <c r="A376" t="s">
        <v>387</v>
      </c>
      <c r="B376" t="s">
        <v>406</v>
      </c>
      <c r="C376" t="s">
        <v>409</v>
      </c>
      <c r="D376" s="1">
        <v>6897150</v>
      </c>
      <c r="E376" s="1">
        <f>_xlfn.XLOOKUP($C376,'Plaza SP Tar'!$C:$C,'Plaza SP Tar'!E:E)</f>
        <v>7528459.9747733297</v>
      </c>
      <c r="F376" s="1">
        <v>10000</v>
      </c>
      <c r="G376" s="1">
        <f>_xlfn.XLOOKUP($C376,'Plaza SP Tar'!$C:$C,'Plaza SP Tar'!F:F)</f>
        <v>8603954.2568838056</v>
      </c>
      <c r="H376" s="1">
        <v>18000</v>
      </c>
      <c r="I376" s="1">
        <f>_xlfn.XLOOKUP($C376,'Plaza SP Tar'!$C:$C,'Plaza SP Tar'!G:G)</f>
        <v>9464349.6825721841</v>
      </c>
      <c r="J376" s="1">
        <v>25000</v>
      </c>
      <c r="K376" s="1">
        <f>_xlfn.XLOOKUP($C376,'Plaza SP Tar'!$C:$C,'Plaza SP Tar'!H:H)</f>
        <v>10324745.108260566</v>
      </c>
      <c r="L376" s="1">
        <v>30000</v>
      </c>
      <c r="M376" s="1">
        <f>_xlfn.XLOOKUP($C376,'Plaza SP Tar'!$C:$C,'Plaza SP Tar'!I:I)</f>
        <v>11185140.533948947</v>
      </c>
      <c r="N376" s="1">
        <v>40000</v>
      </c>
      <c r="O376" s="1">
        <f>_xlfn.XLOOKUP($C376,'Plaza SP Tar'!$C:$C,'Plaza SP Tar'!J:J)</f>
        <v>12045535.959637327</v>
      </c>
      <c r="P376" s="1">
        <v>45000</v>
      </c>
      <c r="Q376" s="1">
        <f>_xlfn.XLOOKUP($C376,'Plaza SP Tar'!$C:$C,'Plaza SP Tar'!K:K)</f>
        <v>12905931.385325707</v>
      </c>
      <c r="R376">
        <v>50000</v>
      </c>
    </row>
    <row r="377" spans="1:18" x14ac:dyDescent="0.25">
      <c r="A377" t="s">
        <v>387</v>
      </c>
      <c r="B377" t="s">
        <v>406</v>
      </c>
      <c r="C377" t="s">
        <v>410</v>
      </c>
      <c r="D377" s="1">
        <v>5703179</v>
      </c>
      <c r="E377" s="1">
        <f>_xlfn.XLOOKUP($C377,'Plaza SP Tar'!$C:$C,'Plaza SP Tar'!E:E)</f>
        <v>6225202.4141084049</v>
      </c>
      <c r="F377" s="1">
        <v>10000</v>
      </c>
      <c r="G377" s="1">
        <f>_xlfn.XLOOKUP($C377,'Plaza SP Tar'!$C:$C,'Plaza SP Tar'!F:F)</f>
        <v>7114517.0446953196</v>
      </c>
      <c r="H377" s="1">
        <v>18000</v>
      </c>
      <c r="I377" s="1">
        <f>_xlfn.XLOOKUP($C377,'Plaza SP Tar'!$C:$C,'Plaza SP Tar'!G:G)</f>
        <v>7825968.7491648505</v>
      </c>
      <c r="J377" s="1">
        <v>25000</v>
      </c>
      <c r="K377" s="1">
        <f>_xlfn.XLOOKUP($C377,'Plaza SP Tar'!$C:$C,'Plaza SP Tar'!H:H)</f>
        <v>8537420.4536343832</v>
      </c>
      <c r="L377" s="1">
        <v>30000</v>
      </c>
      <c r="M377" s="1">
        <f>_xlfn.XLOOKUP($C377,'Plaza SP Tar'!$C:$C,'Plaza SP Tar'!I:I)</f>
        <v>9248872.1581039149</v>
      </c>
      <c r="N377" s="1">
        <v>40000</v>
      </c>
      <c r="O377" s="1">
        <f>_xlfn.XLOOKUP($C377,'Plaza SP Tar'!$C:$C,'Plaza SP Tar'!J:J)</f>
        <v>9960323.8625734467</v>
      </c>
      <c r="P377" s="1">
        <v>45000</v>
      </c>
      <c r="Q377" s="1">
        <f>_xlfn.XLOOKUP($C377,'Plaza SP Tar'!$C:$C,'Plaza SP Tar'!K:K)</f>
        <v>10671775.567042978</v>
      </c>
      <c r="R377">
        <v>50000</v>
      </c>
    </row>
    <row r="378" spans="1:18" x14ac:dyDescent="0.25">
      <c r="A378" t="s">
        <v>387</v>
      </c>
      <c r="B378" t="s">
        <v>406</v>
      </c>
      <c r="C378" t="s">
        <v>411</v>
      </c>
      <c r="D378" s="1">
        <v>2913891</v>
      </c>
      <c r="E378" s="1">
        <f>_xlfn.XLOOKUP($C378,'Plaza SP Tar'!$C:$C,'Plaza SP Tar'!E:E)</f>
        <v>3180605.2883223118</v>
      </c>
      <c r="F378" s="1">
        <v>10000</v>
      </c>
      <c r="G378" s="1">
        <f>_xlfn.XLOOKUP($C378,'Plaza SP Tar'!$C:$C,'Plaza SP Tar'!F:F)</f>
        <v>3634977.4723683563</v>
      </c>
      <c r="H378" s="1">
        <v>18000</v>
      </c>
      <c r="I378" s="1">
        <f>_xlfn.XLOOKUP($C378,'Plaza SP Tar'!$C:$C,'Plaza SP Tar'!G:G)</f>
        <v>3998475.2196051916</v>
      </c>
      <c r="J378" s="1">
        <v>25000</v>
      </c>
      <c r="K378" s="1">
        <f>_xlfn.XLOOKUP($C378,'Plaza SP Tar'!$C:$C,'Plaza SP Tar'!H:H)</f>
        <v>4361972.9668420274</v>
      </c>
      <c r="L378" s="1">
        <v>30000</v>
      </c>
      <c r="M378" s="1">
        <f>_xlfn.XLOOKUP($C378,'Plaza SP Tar'!$C:$C,'Plaza SP Tar'!I:I)</f>
        <v>4725470.7140788632</v>
      </c>
      <c r="N378" s="1">
        <v>40000</v>
      </c>
      <c r="O378" s="1">
        <f>_xlfn.XLOOKUP($C378,'Plaza SP Tar'!$C:$C,'Plaza SP Tar'!J:J)</f>
        <v>5088968.461315698</v>
      </c>
      <c r="P378" s="1">
        <v>45000</v>
      </c>
      <c r="Q378" s="1">
        <f>_xlfn.XLOOKUP($C378,'Plaza SP Tar'!$C:$C,'Plaza SP Tar'!K:K)</f>
        <v>5452466.2085525338</v>
      </c>
      <c r="R378">
        <v>50000</v>
      </c>
    </row>
    <row r="379" spans="1:18" x14ac:dyDescent="0.25">
      <c r="A379" t="s">
        <v>387</v>
      </c>
      <c r="B379" t="s">
        <v>406</v>
      </c>
      <c r="C379" t="s">
        <v>412</v>
      </c>
      <c r="D379" s="1">
        <v>5045546</v>
      </c>
      <c r="E379" s="1">
        <f>_xlfn.XLOOKUP($C379,'Plaza SP Tar'!$C:$C,'Plaza SP Tar'!E:E)</f>
        <v>5507374.9464456588</v>
      </c>
      <c r="F379" s="1">
        <v>10000</v>
      </c>
      <c r="G379" s="1">
        <f>_xlfn.XLOOKUP($C379,'Plaza SP Tar'!$C:$C,'Plaza SP Tar'!F:F)</f>
        <v>6294142.7959378958</v>
      </c>
      <c r="H379" s="1">
        <v>18000</v>
      </c>
      <c r="I379" s="1">
        <f>_xlfn.XLOOKUP($C379,'Plaza SP Tar'!$C:$C,'Plaza SP Tar'!G:G)</f>
        <v>6923557.0755316848</v>
      </c>
      <c r="J379" s="1">
        <v>25000</v>
      </c>
      <c r="K379" s="1">
        <f>_xlfn.XLOOKUP($C379,'Plaza SP Tar'!$C:$C,'Plaza SP Tar'!H:H)</f>
        <v>7552971.3551254747</v>
      </c>
      <c r="L379" s="1">
        <v>30000</v>
      </c>
      <c r="M379" s="1">
        <f>_xlfn.XLOOKUP($C379,'Plaza SP Tar'!$C:$C,'Plaza SP Tar'!I:I)</f>
        <v>8182385.6347192647</v>
      </c>
      <c r="N379" s="1">
        <v>40000</v>
      </c>
      <c r="O379" s="1">
        <f>_xlfn.XLOOKUP($C379,'Plaza SP Tar'!$C:$C,'Plaza SP Tar'!J:J)</f>
        <v>8811799.9143130537</v>
      </c>
      <c r="P379" s="1">
        <v>45000</v>
      </c>
      <c r="Q379" s="1">
        <f>_xlfn.XLOOKUP($C379,'Plaza SP Tar'!$C:$C,'Plaza SP Tar'!K:K)</f>
        <v>9441214.1939068437</v>
      </c>
      <c r="R379">
        <v>50000</v>
      </c>
    </row>
    <row r="380" spans="1:18" x14ac:dyDescent="0.25">
      <c r="A380" t="s">
        <v>387</v>
      </c>
      <c r="B380" t="s">
        <v>406</v>
      </c>
      <c r="C380" t="s">
        <v>413</v>
      </c>
      <c r="D380" s="1">
        <v>2358482</v>
      </c>
      <c r="E380" s="1">
        <f>_xlfn.XLOOKUP($C380,'Plaza SP Tar'!$C:$C,'Plaza SP Tar'!E:E)</f>
        <v>2574358.5884348396</v>
      </c>
      <c r="F380" s="1">
        <v>10000</v>
      </c>
      <c r="G380" s="1">
        <f>_xlfn.XLOOKUP($C380,'Plaza SP Tar'!$C:$C,'Plaza SP Tar'!F:F)</f>
        <v>2942124.1010683877</v>
      </c>
      <c r="H380" s="1">
        <v>18000</v>
      </c>
      <c r="I380" s="1">
        <f>_xlfn.XLOOKUP($C380,'Plaza SP Tar'!$C:$C,'Plaza SP Tar'!G:G)</f>
        <v>3236336.5111752264</v>
      </c>
      <c r="J380" s="1">
        <v>25000</v>
      </c>
      <c r="K380" s="1">
        <f>_xlfn.XLOOKUP($C380,'Plaza SP Tar'!$C:$C,'Plaza SP Tar'!H:H)</f>
        <v>3530548.9212820651</v>
      </c>
      <c r="L380" s="1">
        <v>30000</v>
      </c>
      <c r="M380" s="1">
        <f>_xlfn.XLOOKUP($C380,'Plaza SP Tar'!$C:$C,'Plaza SP Tar'!I:I)</f>
        <v>3824761.3313889042</v>
      </c>
      <c r="N380" s="1">
        <v>40000</v>
      </c>
      <c r="O380" s="1">
        <f>_xlfn.XLOOKUP($C380,'Plaza SP Tar'!$C:$C,'Plaza SP Tar'!J:J)</f>
        <v>4118973.7414957425</v>
      </c>
      <c r="P380" s="1">
        <v>45000</v>
      </c>
      <c r="Q380" s="1">
        <f>_xlfn.XLOOKUP($C380,'Plaza SP Tar'!$C:$C,'Plaza SP Tar'!K:K)</f>
        <v>4413186.1516025811</v>
      </c>
      <c r="R380">
        <v>50000</v>
      </c>
    </row>
    <row r="381" spans="1:18" x14ac:dyDescent="0.25">
      <c r="A381" t="s">
        <v>387</v>
      </c>
      <c r="B381" t="s">
        <v>406</v>
      </c>
      <c r="C381" t="s">
        <v>414</v>
      </c>
      <c r="D381" s="1">
        <v>4203621</v>
      </c>
      <c r="E381" s="1">
        <f>_xlfn.XLOOKUP($C381,'Plaza SP Tar'!$C:$C,'Plaza SP Tar'!E:E)</f>
        <v>4588386.8623441048</v>
      </c>
      <c r="F381" s="1">
        <v>10000</v>
      </c>
      <c r="G381" s="1">
        <f>_xlfn.XLOOKUP($C381,'Plaza SP Tar'!$C:$C,'Plaza SP Tar'!F:F)</f>
        <v>5243870.6998218335</v>
      </c>
      <c r="H381" s="1">
        <v>18000</v>
      </c>
      <c r="I381" s="1">
        <f>_xlfn.XLOOKUP($C381,'Plaza SP Tar'!$C:$C,'Plaza SP Tar'!G:G)</f>
        <v>5768257.7698040167</v>
      </c>
      <c r="J381" s="1">
        <v>25000</v>
      </c>
      <c r="K381" s="1">
        <f>_xlfn.XLOOKUP($C381,'Plaza SP Tar'!$C:$C,'Plaza SP Tar'!H:H)</f>
        <v>6292644.8397861999</v>
      </c>
      <c r="L381" s="1">
        <v>30000</v>
      </c>
      <c r="M381" s="1">
        <f>_xlfn.XLOOKUP($C381,'Plaza SP Tar'!$C:$C,'Plaza SP Tar'!I:I)</f>
        <v>6817031.9097683839</v>
      </c>
      <c r="N381" s="1">
        <v>40000</v>
      </c>
      <c r="O381" s="1">
        <f>_xlfn.XLOOKUP($C381,'Plaza SP Tar'!$C:$C,'Plaza SP Tar'!J:J)</f>
        <v>7341418.9797505662</v>
      </c>
      <c r="P381" s="1">
        <v>45000</v>
      </c>
      <c r="Q381" s="1">
        <f>_xlfn.XLOOKUP($C381,'Plaza SP Tar'!$C:$C,'Plaza SP Tar'!K:K)</f>
        <v>7865806.0497327503</v>
      </c>
      <c r="R381">
        <v>50000</v>
      </c>
    </row>
    <row r="382" spans="1:18" x14ac:dyDescent="0.25">
      <c r="A382" t="s">
        <v>387</v>
      </c>
      <c r="B382" t="s">
        <v>406</v>
      </c>
      <c r="C382" t="s">
        <v>415</v>
      </c>
      <c r="D382" s="1">
        <v>6237530</v>
      </c>
      <c r="E382" s="1">
        <f>_xlfn.XLOOKUP($C382,'Plaza SP Tar'!$C:$C,'Plaza SP Tar'!E:E)</f>
        <v>6808463.6330147795</v>
      </c>
      <c r="F382" s="1">
        <v>10000</v>
      </c>
      <c r="G382" s="1">
        <f>_xlfn.XLOOKUP($C382,'Plaza SP Tar'!$C:$C,'Plaza SP Tar'!F:F)</f>
        <v>7781101.2948740339</v>
      </c>
      <c r="H382" s="1">
        <v>18000</v>
      </c>
      <c r="I382" s="1">
        <f>_xlfn.XLOOKUP($C382,'Plaza SP Tar'!$C:$C,'Plaza SP Tar'!G:G)</f>
        <v>8559211.4243614357</v>
      </c>
      <c r="J382" s="1">
        <v>25000</v>
      </c>
      <c r="K382" s="1">
        <f>_xlfn.XLOOKUP($C382,'Plaza SP Tar'!$C:$C,'Plaza SP Tar'!H:H)</f>
        <v>9337321.5538488403</v>
      </c>
      <c r="L382" s="1">
        <v>30000</v>
      </c>
      <c r="M382" s="1">
        <f>_xlfn.XLOOKUP($C382,'Plaza SP Tar'!$C:$C,'Plaza SP Tar'!I:I)</f>
        <v>10115431.683336245</v>
      </c>
      <c r="N382" s="1">
        <v>40000</v>
      </c>
      <c r="O382" s="1">
        <f>_xlfn.XLOOKUP($C382,'Plaza SP Tar'!$C:$C,'Plaza SP Tar'!J:J)</f>
        <v>10893541.812823646</v>
      </c>
      <c r="P382" s="1">
        <v>45000</v>
      </c>
      <c r="Q382" s="1">
        <f>_xlfn.XLOOKUP($C382,'Plaza SP Tar'!$C:$C,'Plaza SP Tar'!K:K)</f>
        <v>11671651.94231105</v>
      </c>
      <c r="R382">
        <v>50000</v>
      </c>
    </row>
    <row r="383" spans="1:18" x14ac:dyDescent="0.25">
      <c r="A383" t="s">
        <v>387</v>
      </c>
      <c r="B383" t="s">
        <v>406</v>
      </c>
      <c r="C383" t="s">
        <v>416</v>
      </c>
      <c r="D383" s="1">
        <v>2038994</v>
      </c>
      <c r="E383" s="1">
        <f>_xlfn.XLOOKUP($C383,'Plaza SP Tar'!$C:$C,'Plaza SP Tar'!E:E)</f>
        <v>2225627.2109208833</v>
      </c>
      <c r="F383" s="1">
        <v>10000</v>
      </c>
      <c r="G383" s="1">
        <f>_xlfn.XLOOKUP($C383,'Plaza SP Tar'!$C:$C,'Plaza SP Tar'!F:F)</f>
        <v>2543573.9553381526</v>
      </c>
      <c r="H383" s="1">
        <v>18000</v>
      </c>
      <c r="I383" s="1">
        <f>_xlfn.XLOOKUP($C383,'Plaza SP Tar'!$C:$C,'Plaza SP Tar'!G:G)</f>
        <v>2797931.3508719672</v>
      </c>
      <c r="J383" s="1">
        <v>25000</v>
      </c>
      <c r="K383" s="1">
        <f>_xlfn.XLOOKUP($C383,'Plaza SP Tar'!$C:$C,'Plaza SP Tar'!H:H)</f>
        <v>3052288.7464057826</v>
      </c>
      <c r="L383" s="1">
        <v>30000</v>
      </c>
      <c r="M383" s="1">
        <f>_xlfn.XLOOKUP($C383,'Plaza SP Tar'!$C:$C,'Plaza SP Tar'!I:I)</f>
        <v>3306646.1419395981</v>
      </c>
      <c r="N383" s="1">
        <v>40000</v>
      </c>
      <c r="O383" s="1">
        <f>_xlfn.XLOOKUP($C383,'Plaza SP Tar'!$C:$C,'Plaza SP Tar'!J:J)</f>
        <v>3561003.5374734132</v>
      </c>
      <c r="P383" s="1">
        <v>45000</v>
      </c>
      <c r="Q383" s="1">
        <f>_xlfn.XLOOKUP($C383,'Plaza SP Tar'!$C:$C,'Plaza SP Tar'!K:K)</f>
        <v>3815360.9330072287</v>
      </c>
      <c r="R383">
        <v>50000</v>
      </c>
    </row>
    <row r="384" spans="1:18" x14ac:dyDescent="0.25">
      <c r="A384" t="s">
        <v>387</v>
      </c>
      <c r="B384" t="s">
        <v>406</v>
      </c>
      <c r="C384" t="s">
        <v>417</v>
      </c>
      <c r="D384" s="1">
        <v>5506451</v>
      </c>
      <c r="E384" s="1">
        <f>_xlfn.XLOOKUP($C384,'Plaza SP Tar'!$C:$C,'Plaza SP Tar'!E:E)</f>
        <v>6010467.5056437189</v>
      </c>
      <c r="F384" s="1">
        <v>10000</v>
      </c>
      <c r="G384" s="1">
        <f>_xlfn.XLOOKUP($C384,'Plaza SP Tar'!$C:$C,'Plaza SP Tar'!F:F)</f>
        <v>6869105.7207356784</v>
      </c>
      <c r="H384" s="1">
        <v>18000</v>
      </c>
      <c r="I384" s="1">
        <f>_xlfn.XLOOKUP($C384,'Plaza SP Tar'!$C:$C,'Plaza SP Tar'!G:G)</f>
        <v>7556016.2928092461</v>
      </c>
      <c r="J384" s="1">
        <v>25000</v>
      </c>
      <c r="K384" s="1">
        <f>_xlfn.XLOOKUP($C384,'Plaza SP Tar'!$C:$C,'Plaza SP Tar'!H:H)</f>
        <v>8242926.8648828138</v>
      </c>
      <c r="L384" s="1">
        <v>30000</v>
      </c>
      <c r="M384" s="1">
        <f>_xlfn.XLOOKUP($C384,'Plaza SP Tar'!$C:$C,'Plaza SP Tar'!I:I)</f>
        <v>8929837.4369563833</v>
      </c>
      <c r="N384" s="1">
        <v>40000</v>
      </c>
      <c r="O384" s="1">
        <f>_xlfn.XLOOKUP($C384,'Plaza SP Tar'!$C:$C,'Plaza SP Tar'!J:J)</f>
        <v>9616748.0090299491</v>
      </c>
      <c r="P384" s="1">
        <v>45000</v>
      </c>
      <c r="Q384" s="1">
        <f>_xlfn.XLOOKUP($C384,'Plaza SP Tar'!$C:$C,'Plaza SP Tar'!K:K)</f>
        <v>10303658.581103519</v>
      </c>
      <c r="R384">
        <v>50000</v>
      </c>
    </row>
    <row r="385" spans="1:18" x14ac:dyDescent="0.25">
      <c r="A385" t="s">
        <v>387</v>
      </c>
      <c r="B385" t="s">
        <v>406</v>
      </c>
      <c r="C385" t="s">
        <v>418</v>
      </c>
      <c r="D385" s="1">
        <v>2948142</v>
      </c>
      <c r="E385" s="1">
        <f>_xlfn.XLOOKUP($C385,'Plaza SP Tar'!$C:$C,'Plaza SP Tar'!E:E)</f>
        <v>3217991.3510577842</v>
      </c>
      <c r="F385" s="1">
        <v>10000</v>
      </c>
      <c r="G385" s="1">
        <f>_xlfn.XLOOKUP($C385,'Plaza SP Tar'!$C:$C,'Plaza SP Tar'!F:F)</f>
        <v>3677704.4012088957</v>
      </c>
      <c r="H385" s="1">
        <v>18000</v>
      </c>
      <c r="I385" s="1">
        <f>_xlfn.XLOOKUP($C385,'Plaza SP Tar'!$C:$C,'Plaza SP Tar'!G:G)</f>
        <v>4045474.8413297851</v>
      </c>
      <c r="J385" s="1">
        <v>25000</v>
      </c>
      <c r="K385" s="1">
        <f>_xlfn.XLOOKUP($C385,'Plaza SP Tar'!$C:$C,'Plaza SP Tar'!H:H)</f>
        <v>4413245.2814506749</v>
      </c>
      <c r="L385" s="1">
        <v>30000</v>
      </c>
      <c r="M385" s="1">
        <f>_xlfn.XLOOKUP($C385,'Plaza SP Tar'!$C:$C,'Plaza SP Tar'!I:I)</f>
        <v>4781015.7215715647</v>
      </c>
      <c r="N385" s="1">
        <v>40000</v>
      </c>
      <c r="O385" s="1">
        <f>_xlfn.XLOOKUP($C385,'Plaza SP Tar'!$C:$C,'Plaza SP Tar'!J:J)</f>
        <v>5148786.1616924535</v>
      </c>
      <c r="P385" s="1">
        <v>45000</v>
      </c>
      <c r="Q385" s="1">
        <f>_xlfn.XLOOKUP($C385,'Plaza SP Tar'!$C:$C,'Plaza SP Tar'!K:K)</f>
        <v>5516556.6018133434</v>
      </c>
      <c r="R385">
        <v>50000</v>
      </c>
    </row>
    <row r="386" spans="1:18" x14ac:dyDescent="0.25">
      <c r="A386" t="s">
        <v>387</v>
      </c>
      <c r="B386" t="s">
        <v>406</v>
      </c>
      <c r="C386" t="s">
        <v>419</v>
      </c>
      <c r="D386" s="1">
        <v>5998215</v>
      </c>
      <c r="E386" s="1">
        <f>_xlfn.XLOOKUP($C386,'Plaza SP Tar'!$C:$C,'Plaza SP Tar'!E:E)</f>
        <v>6547243.6510131015</v>
      </c>
      <c r="F386" s="1">
        <v>10000</v>
      </c>
      <c r="G386" s="1">
        <f>_xlfn.XLOOKUP($C386,'Plaza SP Tar'!$C:$C,'Plaza SP Tar'!F:F)</f>
        <v>7482564.172586401</v>
      </c>
      <c r="H386" s="1">
        <v>18000</v>
      </c>
      <c r="I386" s="1">
        <f>_xlfn.XLOOKUP($C386,'Plaza SP Tar'!$C:$C,'Plaza SP Tar'!G:G)</f>
        <v>8230820.5898450399</v>
      </c>
      <c r="J386" s="1">
        <v>25000</v>
      </c>
      <c r="K386" s="1">
        <f>_xlfn.XLOOKUP($C386,'Plaza SP Tar'!$C:$C,'Plaza SP Tar'!H:H)</f>
        <v>8979077.0071036797</v>
      </c>
      <c r="L386" s="1">
        <v>30000</v>
      </c>
      <c r="M386" s="1">
        <f>_xlfn.XLOOKUP($C386,'Plaza SP Tar'!$C:$C,'Plaza SP Tar'!I:I)</f>
        <v>9727333.4243623205</v>
      </c>
      <c r="N386" s="1">
        <v>40000</v>
      </c>
      <c r="O386" s="1">
        <f>_xlfn.XLOOKUP($C386,'Plaza SP Tar'!$C:$C,'Plaza SP Tar'!J:J)</f>
        <v>10475589.841620959</v>
      </c>
      <c r="P386" s="1">
        <v>45000</v>
      </c>
      <c r="Q386" s="1">
        <f>_xlfn.XLOOKUP($C386,'Plaza SP Tar'!$C:$C,'Plaza SP Tar'!K:K)</f>
        <v>11223846.2588796</v>
      </c>
      <c r="R386">
        <v>50000</v>
      </c>
    </row>
    <row r="387" spans="1:18" x14ac:dyDescent="0.25">
      <c r="A387" t="s">
        <v>387</v>
      </c>
      <c r="B387" t="s">
        <v>406</v>
      </c>
      <c r="C387" t="s">
        <v>420</v>
      </c>
      <c r="D387" s="1">
        <v>4245152</v>
      </c>
      <c r="E387" s="1">
        <f>_xlfn.XLOOKUP($C387,'Plaza SP Tar'!$C:$C,'Plaza SP Tar'!E:E)</f>
        <v>4633719.2780828243</v>
      </c>
      <c r="F387" s="1">
        <v>10000</v>
      </c>
      <c r="G387" s="1">
        <f>_xlfn.XLOOKUP($C387,'Plaza SP Tar'!$C:$C,'Plaza SP Tar'!F:F)</f>
        <v>5295679.1749517992</v>
      </c>
      <c r="H387" s="1">
        <v>18000</v>
      </c>
      <c r="I387" s="1">
        <f>_xlfn.XLOOKUP($C387,'Plaza SP Tar'!$C:$C,'Plaza SP Tar'!G:G)</f>
        <v>5825247.0924469782</v>
      </c>
      <c r="J387" s="1">
        <v>25000</v>
      </c>
      <c r="K387" s="1">
        <f>_xlfn.XLOOKUP($C387,'Plaza SP Tar'!$C:$C,'Plaza SP Tar'!H:H)</f>
        <v>6354815.0099421581</v>
      </c>
      <c r="L387" s="1">
        <v>30000</v>
      </c>
      <c r="M387" s="1">
        <f>_xlfn.XLOOKUP($C387,'Plaza SP Tar'!$C:$C,'Plaza SP Tar'!I:I)</f>
        <v>6884382.927437339</v>
      </c>
      <c r="N387" s="1">
        <v>40000</v>
      </c>
      <c r="O387" s="1">
        <f>_xlfn.XLOOKUP($C387,'Plaza SP Tar'!$C:$C,'Plaza SP Tar'!J:J)</f>
        <v>7413950.844932518</v>
      </c>
      <c r="P387" s="1">
        <v>45000</v>
      </c>
      <c r="Q387" s="1">
        <f>_xlfn.XLOOKUP($C387,'Plaza SP Tar'!$C:$C,'Plaza SP Tar'!K:K)</f>
        <v>7943518.7624276979</v>
      </c>
      <c r="R387">
        <v>50000</v>
      </c>
    </row>
    <row r="388" spans="1:18" x14ac:dyDescent="0.25">
      <c r="A388" t="s">
        <v>387</v>
      </c>
      <c r="B388" t="s">
        <v>421</v>
      </c>
      <c r="C388" t="s">
        <v>422</v>
      </c>
      <c r="D388" s="1">
        <v>3040273</v>
      </c>
      <c r="E388" s="1">
        <f>_xlfn.XLOOKUP($C388,'Plaza SP Tar'!$C:$C,'Plaza SP Tar'!E:E)</f>
        <v>3318555.2862970992</v>
      </c>
      <c r="F388" s="1">
        <v>10000</v>
      </c>
      <c r="G388" s="1">
        <f>_xlfn.XLOOKUP($C388,'Plaza SP Tar'!$C:$C,'Plaza SP Tar'!F:F)</f>
        <v>3792634.6129109701</v>
      </c>
      <c r="H388" s="1">
        <v>18000</v>
      </c>
      <c r="I388" s="1">
        <f>_xlfn.XLOOKUP($C388,'Plaza SP Tar'!$C:$C,'Plaza SP Tar'!G:G)</f>
        <v>4171898.0742020668</v>
      </c>
      <c r="J388" s="1">
        <v>25000</v>
      </c>
      <c r="K388" s="1">
        <f>_xlfn.XLOOKUP($C388,'Plaza SP Tar'!$C:$C,'Plaza SP Tar'!H:H)</f>
        <v>4551161.5354931643</v>
      </c>
      <c r="L388" s="1">
        <v>30000</v>
      </c>
      <c r="M388" s="1">
        <f>_xlfn.XLOOKUP($C388,'Plaza SP Tar'!$C:$C,'Plaza SP Tar'!I:I)</f>
        <v>4930424.9967842614</v>
      </c>
      <c r="N388" s="1">
        <v>40000</v>
      </c>
      <c r="O388" s="1">
        <f>_xlfn.XLOOKUP($C388,'Plaza SP Tar'!$C:$C,'Plaza SP Tar'!J:J)</f>
        <v>5309688.4580753576</v>
      </c>
      <c r="P388" s="1">
        <v>45000</v>
      </c>
      <c r="Q388" s="1">
        <f>_xlfn.XLOOKUP($C388,'Plaza SP Tar'!$C:$C,'Plaza SP Tar'!K:K)</f>
        <v>5688951.9193664547</v>
      </c>
      <c r="R388">
        <v>50000</v>
      </c>
    </row>
    <row r="389" spans="1:18" x14ac:dyDescent="0.25">
      <c r="A389" t="s">
        <v>387</v>
      </c>
      <c r="B389" t="s">
        <v>421</v>
      </c>
      <c r="C389" t="s">
        <v>423</v>
      </c>
      <c r="D389" s="1">
        <v>4392354</v>
      </c>
      <c r="E389" s="1">
        <f>_xlfn.XLOOKUP($C389,'Plaza SP Tar'!$C:$C,'Plaza SP Tar'!E:E)</f>
        <v>4794394.972421295</v>
      </c>
      <c r="F389" s="1">
        <v>10000</v>
      </c>
      <c r="G389" s="1">
        <f>_xlfn.XLOOKUP($C389,'Plaza SP Tar'!$C:$C,'Plaza SP Tar'!F:F)</f>
        <v>5479308.539910051</v>
      </c>
      <c r="H389" s="1">
        <v>18000</v>
      </c>
      <c r="I389" s="1">
        <f>_xlfn.XLOOKUP($C389,'Plaza SP Tar'!$C:$C,'Plaza SP Tar'!G:G)</f>
        <v>6027239.3939010557</v>
      </c>
      <c r="J389" s="1">
        <v>25000</v>
      </c>
      <c r="K389" s="1">
        <f>_xlfn.XLOOKUP($C389,'Plaza SP Tar'!$C:$C,'Plaza SP Tar'!H:H)</f>
        <v>6575170.2478920612</v>
      </c>
      <c r="L389" s="1">
        <v>30000</v>
      </c>
      <c r="M389" s="1">
        <f>_xlfn.XLOOKUP($C389,'Plaza SP Tar'!$C:$C,'Plaza SP Tar'!I:I)</f>
        <v>7123101.1018830668</v>
      </c>
      <c r="N389" s="1">
        <v>40000</v>
      </c>
      <c r="O389" s="1">
        <f>_xlfn.XLOOKUP($C389,'Plaza SP Tar'!$C:$C,'Plaza SP Tar'!J:J)</f>
        <v>7671031.9558740715</v>
      </c>
      <c r="P389" s="1">
        <v>45000</v>
      </c>
      <c r="Q389" s="1">
        <f>_xlfn.XLOOKUP($C389,'Plaza SP Tar'!$C:$C,'Plaza SP Tar'!K:K)</f>
        <v>8218962.8098650761</v>
      </c>
      <c r="R389">
        <v>50000</v>
      </c>
    </row>
    <row r="390" spans="1:18" x14ac:dyDescent="0.25">
      <c r="A390" t="s">
        <v>387</v>
      </c>
      <c r="B390" t="s">
        <v>421</v>
      </c>
      <c r="C390" t="s">
        <v>424</v>
      </c>
      <c r="D390" s="1">
        <v>2868648</v>
      </c>
      <c r="E390" s="1">
        <f>_xlfn.XLOOKUP($C390,'Plaza SP Tar'!$C:$C,'Plaza SP Tar'!E:E)</f>
        <v>3131221.1057775407</v>
      </c>
      <c r="F390" s="1">
        <v>10000</v>
      </c>
      <c r="G390" s="1">
        <f>_xlfn.XLOOKUP($C390,'Plaza SP Tar'!$C:$C,'Plaza SP Tar'!F:F)</f>
        <v>3578538.4066029033</v>
      </c>
      <c r="H390" s="1">
        <v>18000</v>
      </c>
      <c r="I390" s="1">
        <f>_xlfn.XLOOKUP($C390,'Plaza SP Tar'!$C:$C,'Plaza SP Tar'!G:G)</f>
        <v>3936392.2472631931</v>
      </c>
      <c r="J390" s="1">
        <v>25000</v>
      </c>
      <c r="K390" s="1">
        <f>_xlfn.XLOOKUP($C390,'Plaza SP Tar'!$C:$C,'Plaza SP Tar'!H:H)</f>
        <v>4294246.0879234839</v>
      </c>
      <c r="L390" s="1">
        <v>30000</v>
      </c>
      <c r="M390" s="1">
        <f>_xlfn.XLOOKUP($C390,'Plaza SP Tar'!$C:$C,'Plaza SP Tar'!I:I)</f>
        <v>4652099.9285837747</v>
      </c>
      <c r="N390" s="1">
        <v>40000</v>
      </c>
      <c r="O390" s="1">
        <f>_xlfn.XLOOKUP($C390,'Plaza SP Tar'!$C:$C,'Plaza SP Tar'!J:J)</f>
        <v>5009953.7692440646</v>
      </c>
      <c r="P390" s="1">
        <v>45000</v>
      </c>
      <c r="Q390" s="1">
        <f>_xlfn.XLOOKUP($C390,'Plaza SP Tar'!$C:$C,'Plaza SP Tar'!K:K)</f>
        <v>5367807.6099043544</v>
      </c>
      <c r="R390">
        <v>50000</v>
      </c>
    </row>
    <row r="391" spans="1:18" x14ac:dyDescent="0.25">
      <c r="A391" t="s">
        <v>387</v>
      </c>
      <c r="B391" t="s">
        <v>421</v>
      </c>
      <c r="C391" t="s">
        <v>425</v>
      </c>
      <c r="D391" s="1">
        <v>2267025</v>
      </c>
      <c r="E391" s="1">
        <f>_xlfn.XLOOKUP($C391,'Plaza SP Tar'!$C:$C,'Plaza SP Tar'!E:E)</f>
        <v>2474530.3457675283</v>
      </c>
      <c r="F391" s="1">
        <v>10000</v>
      </c>
      <c r="G391" s="1">
        <f>_xlfn.XLOOKUP($C391,'Plaza SP Tar'!$C:$C,'Plaza SP Tar'!F:F)</f>
        <v>2828034.6808771752</v>
      </c>
      <c r="H391" s="1">
        <v>18000</v>
      </c>
      <c r="I391" s="1">
        <f>_xlfn.XLOOKUP($C391,'Plaza SP Tar'!$C:$C,'Plaza SP Tar'!G:G)</f>
        <v>3110838.1489648926</v>
      </c>
      <c r="J391" s="1">
        <v>25000</v>
      </c>
      <c r="K391" s="1">
        <f>_xlfn.XLOOKUP($C391,'Plaza SP Tar'!$C:$C,'Plaza SP Tar'!H:H)</f>
        <v>3393641.61705261</v>
      </c>
      <c r="L391" s="1">
        <v>30000</v>
      </c>
      <c r="M391" s="1">
        <f>_xlfn.XLOOKUP($C391,'Plaza SP Tar'!$C:$C,'Plaza SP Tar'!I:I)</f>
        <v>3676445.0851403279</v>
      </c>
      <c r="N391" s="1">
        <v>40000</v>
      </c>
      <c r="O391" s="1">
        <f>_xlfn.XLOOKUP($C391,'Plaza SP Tar'!$C:$C,'Plaza SP Tar'!J:J)</f>
        <v>3959248.5532280449</v>
      </c>
      <c r="P391" s="1">
        <v>45000</v>
      </c>
      <c r="Q391" s="1">
        <f>_xlfn.XLOOKUP($C391,'Plaza SP Tar'!$C:$C,'Plaza SP Tar'!K:K)</f>
        <v>4242052.0213157628</v>
      </c>
      <c r="R391">
        <v>50000</v>
      </c>
    </row>
    <row r="392" spans="1:18" x14ac:dyDescent="0.25">
      <c r="A392" t="s">
        <v>387</v>
      </c>
      <c r="B392" t="s">
        <v>421</v>
      </c>
      <c r="C392" t="s">
        <v>426</v>
      </c>
      <c r="D392" s="1">
        <v>2250302</v>
      </c>
      <c r="E392" s="1">
        <f>_xlfn.XLOOKUP($C392,'Plaza SP Tar'!$C:$C,'Plaza SP Tar'!E:E)</f>
        <v>2456276.6560321837</v>
      </c>
      <c r="F392" s="1">
        <v>10000</v>
      </c>
      <c r="G392" s="1">
        <f>_xlfn.XLOOKUP($C392,'Plaza SP Tar'!$C:$C,'Plaza SP Tar'!F:F)</f>
        <v>2807173.3211796382</v>
      </c>
      <c r="H392" s="1">
        <v>18000</v>
      </c>
      <c r="I392" s="1">
        <f>_xlfn.XLOOKUP($C392,'Plaza SP Tar'!$C:$C,'Plaza SP Tar'!G:G)</f>
        <v>3087890.6532976017</v>
      </c>
      <c r="J392" s="1">
        <v>25000</v>
      </c>
      <c r="K392" s="1">
        <f>_xlfn.XLOOKUP($C392,'Plaza SP Tar'!$C:$C,'Plaza SP Tar'!H:H)</f>
        <v>3368607.9854155658</v>
      </c>
      <c r="L392" s="1">
        <v>30000</v>
      </c>
      <c r="M392" s="1">
        <f>_xlfn.XLOOKUP($C392,'Plaza SP Tar'!$C:$C,'Plaza SP Tar'!I:I)</f>
        <v>3649325.3175335294</v>
      </c>
      <c r="N392" s="1">
        <v>40000</v>
      </c>
      <c r="O392" s="1">
        <f>_xlfn.XLOOKUP($C392,'Plaza SP Tar'!$C:$C,'Plaza SP Tar'!J:J)</f>
        <v>3930042.6496514929</v>
      </c>
      <c r="P392" s="1">
        <v>45000</v>
      </c>
      <c r="Q392" s="1">
        <f>_xlfn.XLOOKUP($C392,'Plaza SP Tar'!$C:$C,'Plaza SP Tar'!K:K)</f>
        <v>4210759.9817694565</v>
      </c>
      <c r="R392">
        <v>50000</v>
      </c>
    </row>
    <row r="393" spans="1:18" x14ac:dyDescent="0.25">
      <c r="A393" t="s">
        <v>387</v>
      </c>
      <c r="B393" t="s">
        <v>421</v>
      </c>
      <c r="C393" t="s">
        <v>427</v>
      </c>
      <c r="D393" s="1">
        <v>5453715</v>
      </c>
      <c r="E393" s="1">
        <f>_xlfn.XLOOKUP($C393,'Plaza SP Tar'!$C:$C,'Plaza SP Tar'!E:E)</f>
        <v>5952904.473778435</v>
      </c>
      <c r="F393" s="1">
        <v>10000</v>
      </c>
      <c r="G393" s="1">
        <f>_xlfn.XLOOKUP($C393,'Plaza SP Tar'!$C:$C,'Plaza SP Tar'!F:F)</f>
        <v>6803319.3986039255</v>
      </c>
      <c r="H393" s="1">
        <v>18000</v>
      </c>
      <c r="I393" s="1">
        <f>_xlfn.XLOOKUP($C393,'Plaza SP Tar'!$C:$C,'Plaza SP Tar'!G:G)</f>
        <v>7483651.3384643169</v>
      </c>
      <c r="J393" s="1">
        <v>25000</v>
      </c>
      <c r="K393" s="1">
        <f>_xlfn.XLOOKUP($C393,'Plaza SP Tar'!$C:$C,'Plaza SP Tar'!H:H)</f>
        <v>8163983.2783247102</v>
      </c>
      <c r="L393" s="1">
        <v>30000</v>
      </c>
      <c r="M393" s="1">
        <f>_xlfn.XLOOKUP($C393,'Plaza SP Tar'!$C:$C,'Plaza SP Tar'!I:I)</f>
        <v>8844315.2181851026</v>
      </c>
      <c r="N393" s="1">
        <v>40000</v>
      </c>
      <c r="O393" s="1">
        <f>_xlfn.XLOOKUP($C393,'Plaza SP Tar'!$C:$C,'Plaza SP Tar'!J:J)</f>
        <v>9524647.1580454949</v>
      </c>
      <c r="P393" s="1">
        <v>45000</v>
      </c>
      <c r="Q393" s="1">
        <f>_xlfn.XLOOKUP($C393,'Plaza SP Tar'!$C:$C,'Plaza SP Tar'!K:K)</f>
        <v>10204979.097905887</v>
      </c>
      <c r="R393">
        <v>50000</v>
      </c>
    </row>
    <row r="394" spans="1:18" x14ac:dyDescent="0.25">
      <c r="A394" t="s">
        <v>387</v>
      </c>
      <c r="B394" t="s">
        <v>421</v>
      </c>
      <c r="C394" t="s">
        <v>428</v>
      </c>
      <c r="D394" s="1">
        <v>2789468</v>
      </c>
      <c r="E394" s="1">
        <f>_xlfn.XLOOKUP($C394,'Plaza SP Tar'!$C:$C,'Plaza SP Tar'!E:E)</f>
        <v>3044793.6015471625</v>
      </c>
      <c r="F394" s="1">
        <v>10000</v>
      </c>
      <c r="G394" s="1">
        <f>_xlfn.XLOOKUP($C394,'Plaza SP Tar'!$C:$C,'Plaza SP Tar'!F:F)</f>
        <v>3479764.1160538998</v>
      </c>
      <c r="H394" s="1">
        <v>18000</v>
      </c>
      <c r="I394" s="1">
        <f>_xlfn.XLOOKUP($C394,'Plaza SP Tar'!$C:$C,'Plaza SP Tar'!G:G)</f>
        <v>3827740.5276592895</v>
      </c>
      <c r="J394" s="1">
        <v>25000</v>
      </c>
      <c r="K394" s="1">
        <f>_xlfn.XLOOKUP($C394,'Plaza SP Tar'!$C:$C,'Plaza SP Tar'!H:H)</f>
        <v>4175716.9392646793</v>
      </c>
      <c r="L394" s="1">
        <v>30000</v>
      </c>
      <c r="M394" s="1">
        <f>_xlfn.XLOOKUP($C394,'Plaza SP Tar'!$C:$C,'Plaza SP Tar'!I:I)</f>
        <v>4523693.35087007</v>
      </c>
      <c r="N394" s="1">
        <v>40000</v>
      </c>
      <c r="O394" s="1">
        <f>_xlfn.XLOOKUP($C394,'Plaza SP Tar'!$C:$C,'Plaza SP Tar'!J:J)</f>
        <v>4871669.7624754589</v>
      </c>
      <c r="P394" s="1">
        <v>45000</v>
      </c>
      <c r="Q394" s="1">
        <f>_xlfn.XLOOKUP($C394,'Plaza SP Tar'!$C:$C,'Plaza SP Tar'!K:K)</f>
        <v>5219646.1740808496</v>
      </c>
      <c r="R394">
        <v>50000</v>
      </c>
    </row>
    <row r="395" spans="1:18" x14ac:dyDescent="0.25">
      <c r="A395" t="s">
        <v>387</v>
      </c>
      <c r="B395" t="s">
        <v>421</v>
      </c>
      <c r="C395" t="s">
        <v>429</v>
      </c>
      <c r="D395" s="1">
        <v>3225691</v>
      </c>
      <c r="E395" s="1">
        <f>_xlfn.XLOOKUP($C395,'Plaza SP Tar'!$C:$C,'Plaza SP Tar'!E:E)</f>
        <v>3520944.9677745965</v>
      </c>
      <c r="F395" s="1">
        <v>10000</v>
      </c>
      <c r="G395" s="1">
        <f>_xlfn.XLOOKUP($C395,'Plaza SP Tar'!$C:$C,'Plaza SP Tar'!F:F)</f>
        <v>4023937.1060281103</v>
      </c>
      <c r="H395" s="1">
        <v>18000</v>
      </c>
      <c r="I395" s="1">
        <f>_xlfn.XLOOKUP($C395,'Plaza SP Tar'!$C:$C,'Plaza SP Tar'!G:G)</f>
        <v>4426330.8166309204</v>
      </c>
      <c r="J395" s="1">
        <v>25000</v>
      </c>
      <c r="K395" s="1">
        <f>_xlfn.XLOOKUP($C395,'Plaza SP Tar'!$C:$C,'Plaza SP Tar'!H:H)</f>
        <v>4828724.5272337319</v>
      </c>
      <c r="L395" s="1">
        <v>30000</v>
      </c>
      <c r="M395" s="1">
        <f>_xlfn.XLOOKUP($C395,'Plaza SP Tar'!$C:$C,'Plaza SP Tar'!I:I)</f>
        <v>5231118.2378365435</v>
      </c>
      <c r="N395" s="1">
        <v>40000</v>
      </c>
      <c r="O395" s="1">
        <f>_xlfn.XLOOKUP($C395,'Plaza SP Tar'!$C:$C,'Plaza SP Tar'!J:J)</f>
        <v>5633511.9484393531</v>
      </c>
      <c r="P395" s="1">
        <v>45000</v>
      </c>
      <c r="Q395" s="1">
        <f>_xlfn.XLOOKUP($C395,'Plaza SP Tar'!$C:$C,'Plaza SP Tar'!K:K)</f>
        <v>6035905.6590421647</v>
      </c>
      <c r="R395">
        <v>50000</v>
      </c>
    </row>
    <row r="396" spans="1:18" x14ac:dyDescent="0.25">
      <c r="A396" t="s">
        <v>387</v>
      </c>
      <c r="B396" t="s">
        <v>421</v>
      </c>
      <c r="C396" t="s">
        <v>430</v>
      </c>
      <c r="D396" s="1">
        <v>3575602</v>
      </c>
      <c r="E396" s="1">
        <f>_xlfn.XLOOKUP($C396,'Plaza SP Tar'!$C:$C,'Plaza SP Tar'!E:E)</f>
        <v>3902884.023505284</v>
      </c>
      <c r="F396" s="1">
        <v>10000</v>
      </c>
      <c r="G396" s="1">
        <f>_xlfn.XLOOKUP($C396,'Plaza SP Tar'!$C:$C,'Plaza SP Tar'!F:F)</f>
        <v>4460438.8840060383</v>
      </c>
      <c r="H396" s="1">
        <v>18000</v>
      </c>
      <c r="I396" s="1">
        <f>_xlfn.XLOOKUP($C396,'Plaza SP Tar'!$C:$C,'Plaza SP Tar'!G:G)</f>
        <v>4906482.7724066414</v>
      </c>
      <c r="J396" s="1">
        <v>25000</v>
      </c>
      <c r="K396" s="1">
        <f>_xlfn.XLOOKUP($C396,'Plaza SP Tar'!$C:$C,'Plaza SP Tar'!H:H)</f>
        <v>5352526.6608072463</v>
      </c>
      <c r="L396" s="1">
        <v>30000</v>
      </c>
      <c r="M396" s="1">
        <f>_xlfn.XLOOKUP($C396,'Plaza SP Tar'!$C:$C,'Plaza SP Tar'!I:I)</f>
        <v>5798570.5492078504</v>
      </c>
      <c r="N396" s="1">
        <v>40000</v>
      </c>
      <c r="O396" s="1">
        <f>_xlfn.XLOOKUP($C396,'Plaza SP Tar'!$C:$C,'Plaza SP Tar'!J:J)</f>
        <v>6244614.4376084534</v>
      </c>
      <c r="P396" s="1">
        <v>45000</v>
      </c>
      <c r="Q396" s="1">
        <f>_xlfn.XLOOKUP($C396,'Plaza SP Tar'!$C:$C,'Plaza SP Tar'!K:K)</f>
        <v>6690658.3260090575</v>
      </c>
      <c r="R396">
        <v>50000</v>
      </c>
    </row>
    <row r="397" spans="1:18" x14ac:dyDescent="0.25">
      <c r="A397" t="s">
        <v>387</v>
      </c>
      <c r="B397" t="s">
        <v>421</v>
      </c>
      <c r="C397" t="s">
        <v>431</v>
      </c>
      <c r="D397" s="1">
        <v>4601590</v>
      </c>
      <c r="E397" s="1">
        <f>_xlfn.XLOOKUP($C397,'Plaza SP Tar'!$C:$C,'Plaza SP Tar'!E:E)</f>
        <v>5022782.763216286</v>
      </c>
      <c r="F397" s="1">
        <v>10000</v>
      </c>
      <c r="G397" s="1">
        <f>_xlfn.XLOOKUP($C397,'Plaza SP Tar'!$C:$C,'Plaza SP Tar'!F:F)</f>
        <v>5740323.1579614701</v>
      </c>
      <c r="H397" s="1">
        <v>18000</v>
      </c>
      <c r="I397" s="1">
        <f>_xlfn.XLOOKUP($C397,'Plaza SP Tar'!$C:$C,'Plaza SP Tar'!G:G)</f>
        <v>6314355.4737576162</v>
      </c>
      <c r="J397" s="1">
        <v>25000</v>
      </c>
      <c r="K397" s="1">
        <f>_xlfn.XLOOKUP($C397,'Plaza SP Tar'!$C:$C,'Plaza SP Tar'!H:H)</f>
        <v>6888387.7895537633</v>
      </c>
      <c r="L397" s="1">
        <v>30000</v>
      </c>
      <c r="M397" s="1">
        <f>_xlfn.XLOOKUP($C397,'Plaza SP Tar'!$C:$C,'Plaza SP Tar'!I:I)</f>
        <v>7462420.1053499104</v>
      </c>
      <c r="N397" s="1">
        <v>40000</v>
      </c>
      <c r="O397" s="1">
        <f>_xlfn.XLOOKUP($C397,'Plaza SP Tar'!$C:$C,'Plaza SP Tar'!J:J)</f>
        <v>8036452.4211460566</v>
      </c>
      <c r="P397" s="1">
        <v>45000</v>
      </c>
      <c r="Q397" s="1">
        <f>_xlfn.XLOOKUP($C397,'Plaza SP Tar'!$C:$C,'Plaza SP Tar'!K:K)</f>
        <v>8610484.7369422037</v>
      </c>
      <c r="R397">
        <v>50000</v>
      </c>
    </row>
    <row r="398" spans="1:18" x14ac:dyDescent="0.25">
      <c r="A398" t="s">
        <v>387</v>
      </c>
      <c r="B398" t="s">
        <v>421</v>
      </c>
      <c r="C398" t="s">
        <v>432</v>
      </c>
      <c r="D398" s="1">
        <v>3471191</v>
      </c>
      <c r="E398" s="1">
        <f>_xlfn.XLOOKUP($C398,'Plaza SP Tar'!$C:$C,'Plaza SP Tar'!E:E)</f>
        <v>3788916.075233018</v>
      </c>
      <c r="F398" s="1">
        <v>10000</v>
      </c>
      <c r="G398" s="1">
        <f>_xlfn.XLOOKUP($C398,'Plaza SP Tar'!$C:$C,'Plaza SP Tar'!F:F)</f>
        <v>4330189.8002663059</v>
      </c>
      <c r="H398" s="1">
        <v>18000</v>
      </c>
      <c r="I398" s="1">
        <f>_xlfn.XLOOKUP($C398,'Plaza SP Tar'!$C:$C,'Plaza SP Tar'!G:G)</f>
        <v>4763208.7802929366</v>
      </c>
      <c r="J398" s="1">
        <v>25000</v>
      </c>
      <c r="K398" s="1">
        <f>_xlfn.XLOOKUP($C398,'Plaza SP Tar'!$C:$C,'Plaza SP Tar'!H:H)</f>
        <v>5196227.7603195673</v>
      </c>
      <c r="L398" s="1">
        <v>30000</v>
      </c>
      <c r="M398" s="1">
        <f>_xlfn.XLOOKUP($C398,'Plaza SP Tar'!$C:$C,'Plaza SP Tar'!I:I)</f>
        <v>5629246.740346198</v>
      </c>
      <c r="N398" s="1">
        <v>40000</v>
      </c>
      <c r="O398" s="1">
        <f>_xlfn.XLOOKUP($C398,'Plaza SP Tar'!$C:$C,'Plaza SP Tar'!J:J)</f>
        <v>6062265.7203728277</v>
      </c>
      <c r="P398" s="1">
        <v>45000</v>
      </c>
      <c r="Q398" s="1">
        <f>_xlfn.XLOOKUP($C398,'Plaza SP Tar'!$C:$C,'Plaza SP Tar'!K:K)</f>
        <v>6495284.7003994593</v>
      </c>
      <c r="R398">
        <v>50000</v>
      </c>
    </row>
    <row r="399" spans="1:18" x14ac:dyDescent="0.25">
      <c r="A399" t="s">
        <v>387</v>
      </c>
      <c r="B399" t="s">
        <v>421</v>
      </c>
      <c r="C399" t="s">
        <v>433</v>
      </c>
      <c r="D399" s="1">
        <v>4323386</v>
      </c>
      <c r="E399" s="1">
        <f>_xlfn.XLOOKUP($C399,'Plaza SP Tar'!$C:$C,'Plaza SP Tar'!E:E)</f>
        <v>4719114.1930355821</v>
      </c>
      <c r="F399" s="1">
        <v>10000</v>
      </c>
      <c r="G399" s="1">
        <f>_xlfn.XLOOKUP($C399,'Plaza SP Tar'!$C:$C,'Plaza SP Tar'!F:F)</f>
        <v>5393273.3634692375</v>
      </c>
      <c r="H399" s="1">
        <v>18000</v>
      </c>
      <c r="I399" s="1">
        <f>_xlfn.XLOOKUP($C399,'Plaza SP Tar'!$C:$C,'Plaza SP Tar'!G:G)</f>
        <v>5932600.6998161599</v>
      </c>
      <c r="J399" s="1">
        <v>25000</v>
      </c>
      <c r="K399" s="1">
        <f>_xlfn.XLOOKUP($C399,'Plaza SP Tar'!$C:$C,'Plaza SP Tar'!H:H)</f>
        <v>6471928.0361630842</v>
      </c>
      <c r="L399" s="1">
        <v>30000</v>
      </c>
      <c r="M399" s="1">
        <f>_xlfn.XLOOKUP($C399,'Plaza SP Tar'!$C:$C,'Plaza SP Tar'!I:I)</f>
        <v>7011255.3725100085</v>
      </c>
      <c r="N399" s="1">
        <v>40000</v>
      </c>
      <c r="O399" s="1">
        <f>_xlfn.XLOOKUP($C399,'Plaza SP Tar'!$C:$C,'Plaza SP Tar'!J:J)</f>
        <v>7550582.708856931</v>
      </c>
      <c r="P399" s="1">
        <v>45000</v>
      </c>
      <c r="Q399" s="1">
        <f>_xlfn.XLOOKUP($C399,'Plaza SP Tar'!$C:$C,'Plaza SP Tar'!K:K)</f>
        <v>8089910.0452038553</v>
      </c>
      <c r="R399">
        <v>50000</v>
      </c>
    </row>
    <row r="400" spans="1:18" x14ac:dyDescent="0.25">
      <c r="A400" t="s">
        <v>387</v>
      </c>
      <c r="B400" t="s">
        <v>421</v>
      </c>
      <c r="C400" t="s">
        <v>434</v>
      </c>
      <c r="D400" s="1">
        <v>4395586</v>
      </c>
      <c r="E400" s="1">
        <f>_xlfn.XLOOKUP($C400,'Plaza SP Tar'!$C:$C,'Plaza SP Tar'!E:E)</f>
        <v>4797922.8038644949</v>
      </c>
      <c r="F400" s="1">
        <v>10000</v>
      </c>
      <c r="G400" s="1">
        <f>_xlfn.XLOOKUP($C400,'Plaza SP Tar'!$C:$C,'Plaza SP Tar'!F:F)</f>
        <v>5483340.3472737083</v>
      </c>
      <c r="H400" s="1">
        <v>18000</v>
      </c>
      <c r="I400" s="1">
        <f>_xlfn.XLOOKUP($C400,'Plaza SP Tar'!$C:$C,'Plaza SP Tar'!G:G)</f>
        <v>6031674.3820010787</v>
      </c>
      <c r="J400" s="1">
        <v>25000</v>
      </c>
      <c r="K400" s="1">
        <f>_xlfn.XLOOKUP($C400,'Plaza SP Tar'!$C:$C,'Plaza SP Tar'!H:H)</f>
        <v>6580008.41672845</v>
      </c>
      <c r="L400" s="1">
        <v>30000</v>
      </c>
      <c r="M400" s="1">
        <f>_xlfn.XLOOKUP($C400,'Plaza SP Tar'!$C:$C,'Plaza SP Tar'!I:I)</f>
        <v>7128342.4514558213</v>
      </c>
      <c r="N400" s="1">
        <v>40000</v>
      </c>
      <c r="O400" s="1">
        <f>_xlfn.XLOOKUP($C400,'Plaza SP Tar'!$C:$C,'Plaza SP Tar'!J:J)</f>
        <v>7676676.4861831916</v>
      </c>
      <c r="P400" s="1">
        <v>45000</v>
      </c>
      <c r="Q400" s="1">
        <f>_xlfn.XLOOKUP($C400,'Plaza SP Tar'!$C:$C,'Plaza SP Tar'!K:K)</f>
        <v>8225010.520910562</v>
      </c>
      <c r="R400">
        <v>50000</v>
      </c>
    </row>
    <row r="401" spans="1:18" x14ac:dyDescent="0.25">
      <c r="A401" t="s">
        <v>387</v>
      </c>
      <c r="B401" t="s">
        <v>421</v>
      </c>
      <c r="C401" t="s">
        <v>435</v>
      </c>
      <c r="D401" s="1">
        <v>5795076</v>
      </c>
      <c r="E401" s="1">
        <f>_xlfn.XLOOKUP($C401,'Plaza SP Tar'!$C:$C,'Plaza SP Tar'!E:E)</f>
        <v>6325510.9308583299</v>
      </c>
      <c r="F401" s="1">
        <v>10000</v>
      </c>
      <c r="G401" s="1">
        <f>_xlfn.XLOOKUP($C401,'Plaza SP Tar'!$C:$C,'Plaza SP Tar'!F:F)</f>
        <v>7229155.3495523771</v>
      </c>
      <c r="H401" s="1">
        <v>18000</v>
      </c>
      <c r="I401" s="1">
        <f>_xlfn.XLOOKUP($C401,'Plaza SP Tar'!$C:$C,'Plaza SP Tar'!G:G)</f>
        <v>7952070.8845076133</v>
      </c>
      <c r="J401" s="1">
        <v>25000</v>
      </c>
      <c r="K401" s="1">
        <f>_xlfn.XLOOKUP($C401,'Plaza SP Tar'!$C:$C,'Plaza SP Tar'!H:H)</f>
        <v>8674986.4194628522</v>
      </c>
      <c r="L401" s="1">
        <v>30000</v>
      </c>
      <c r="M401" s="1">
        <f>_xlfn.XLOOKUP($C401,'Plaza SP Tar'!$C:$C,'Plaza SP Tar'!I:I)</f>
        <v>9397901.9544180892</v>
      </c>
      <c r="N401" s="1">
        <v>40000</v>
      </c>
      <c r="O401" s="1">
        <f>_xlfn.XLOOKUP($C401,'Plaza SP Tar'!$C:$C,'Plaza SP Tar'!J:J)</f>
        <v>10120817.489373326</v>
      </c>
      <c r="P401" s="1">
        <v>45000</v>
      </c>
      <c r="Q401" s="1">
        <f>_xlfn.XLOOKUP($C401,'Plaza SP Tar'!$C:$C,'Plaza SP Tar'!K:K)</f>
        <v>10843733.024328565</v>
      </c>
      <c r="R401">
        <v>50000</v>
      </c>
    </row>
    <row r="402" spans="1:18" x14ac:dyDescent="0.25">
      <c r="A402" t="s">
        <v>387</v>
      </c>
      <c r="B402" t="s">
        <v>436</v>
      </c>
      <c r="C402" t="s">
        <v>437</v>
      </c>
      <c r="D402" s="1">
        <v>7669372</v>
      </c>
      <c r="E402" s="1">
        <f>_xlfn.XLOOKUP($C402,'Plaza SP Tar'!$C:$C,'Plaza SP Tar'!E:E)</f>
        <v>8371365.0034648059</v>
      </c>
      <c r="F402" s="1">
        <v>10000</v>
      </c>
      <c r="G402" s="1">
        <f>_xlfn.XLOOKUP($C402,'Plaza SP Tar'!$C:$C,'Plaza SP Tar'!F:F)</f>
        <v>9567274.2896740623</v>
      </c>
      <c r="H402" s="1">
        <v>18000</v>
      </c>
      <c r="I402" s="1">
        <f>_xlfn.XLOOKUP($C402,'Plaza SP Tar'!$C:$C,'Plaza SP Tar'!G:G)</f>
        <v>10524001.718641469</v>
      </c>
      <c r="J402" s="1">
        <v>25000</v>
      </c>
      <c r="K402" s="1">
        <f>_xlfn.XLOOKUP($C402,'Plaza SP Tar'!$C:$C,'Plaza SP Tar'!H:H)</f>
        <v>11480729.147608874</v>
      </c>
      <c r="L402" s="1">
        <v>30000</v>
      </c>
      <c r="M402" s="1">
        <f>_xlfn.XLOOKUP($C402,'Plaza SP Tar'!$C:$C,'Plaza SP Tar'!I:I)</f>
        <v>12437456.576576281</v>
      </c>
      <c r="N402" s="1">
        <v>40000</v>
      </c>
      <c r="O402" s="1">
        <f>_xlfn.XLOOKUP($C402,'Plaza SP Tar'!$C:$C,'Plaza SP Tar'!J:J)</f>
        <v>13394184.005543686</v>
      </c>
      <c r="P402" s="1">
        <v>45000</v>
      </c>
      <c r="Q402" s="1">
        <f>_xlfn.XLOOKUP($C402,'Plaza SP Tar'!$C:$C,'Plaza SP Tar'!K:K)</f>
        <v>14350911.434511093</v>
      </c>
      <c r="R402">
        <v>50000</v>
      </c>
    </row>
    <row r="403" spans="1:18" x14ac:dyDescent="0.25">
      <c r="A403" t="s">
        <v>387</v>
      </c>
      <c r="B403" t="s">
        <v>436</v>
      </c>
      <c r="C403" t="s">
        <v>438</v>
      </c>
      <c r="D403" s="1">
        <v>4342236</v>
      </c>
      <c r="E403" s="1">
        <f>_xlfn.XLOOKUP($C403,'Plaza SP Tar'!$C:$C,'Plaza SP Tar'!E:E)</f>
        <v>4739689.5713475635</v>
      </c>
      <c r="F403" s="1">
        <v>10000</v>
      </c>
      <c r="G403" s="1">
        <f>_xlfn.XLOOKUP($C403,'Plaza SP Tar'!$C:$C,'Plaza SP Tar'!F:F)</f>
        <v>5416788.0815400723</v>
      </c>
      <c r="H403" s="1">
        <v>18000</v>
      </c>
      <c r="I403" s="1">
        <f>_xlfn.XLOOKUP($C403,'Plaza SP Tar'!$C:$C,'Plaza SP Tar'!G:G)</f>
        <v>5958466.8896940788</v>
      </c>
      <c r="J403" s="1">
        <v>25000</v>
      </c>
      <c r="K403" s="1">
        <f>_xlfn.XLOOKUP($C403,'Plaza SP Tar'!$C:$C,'Plaza SP Tar'!H:H)</f>
        <v>6500145.6978480862</v>
      </c>
      <c r="L403" s="1">
        <v>30000</v>
      </c>
      <c r="M403" s="1">
        <f>_xlfn.XLOOKUP($C403,'Plaza SP Tar'!$C:$C,'Plaza SP Tar'!I:I)</f>
        <v>7041824.5060020937</v>
      </c>
      <c r="N403" s="1">
        <v>40000</v>
      </c>
      <c r="O403" s="1">
        <f>_xlfn.XLOOKUP($C403,'Plaza SP Tar'!$C:$C,'Plaza SP Tar'!J:J)</f>
        <v>7583503.3141561002</v>
      </c>
      <c r="P403" s="1">
        <v>45000</v>
      </c>
      <c r="Q403" s="1">
        <f>_xlfn.XLOOKUP($C403,'Plaza SP Tar'!$C:$C,'Plaza SP Tar'!K:K)</f>
        <v>8125182.1223101076</v>
      </c>
      <c r="R403">
        <v>50000</v>
      </c>
    </row>
    <row r="404" spans="1:18" x14ac:dyDescent="0.25">
      <c r="A404" t="s">
        <v>387</v>
      </c>
      <c r="B404" t="s">
        <v>436</v>
      </c>
      <c r="C404" t="s">
        <v>439</v>
      </c>
      <c r="D404" s="1">
        <v>2037203</v>
      </c>
      <c r="E404" s="1">
        <f>_xlfn.XLOOKUP($C404,'Plaza SP Tar'!$C:$C,'Plaza SP Tar'!E:E)</f>
        <v>2223672.2770982436</v>
      </c>
      <c r="F404" s="1">
        <v>10000</v>
      </c>
      <c r="G404" s="1">
        <f>_xlfn.XLOOKUP($C404,'Plaza SP Tar'!$C:$C,'Plaza SP Tar'!F:F)</f>
        <v>2541339.7452551359</v>
      </c>
      <c r="H404" s="1">
        <v>18000</v>
      </c>
      <c r="I404" s="1">
        <f>_xlfn.XLOOKUP($C404,'Plaza SP Tar'!$C:$C,'Plaza SP Tar'!G:G)</f>
        <v>2795473.7197806491</v>
      </c>
      <c r="J404" s="1">
        <v>25000</v>
      </c>
      <c r="K404" s="1">
        <f>_xlfn.XLOOKUP($C404,'Plaza SP Tar'!$C:$C,'Plaza SP Tar'!H:H)</f>
        <v>3049607.6943061627</v>
      </c>
      <c r="L404" s="1">
        <v>30000</v>
      </c>
      <c r="M404" s="1">
        <f>_xlfn.XLOOKUP($C404,'Plaza SP Tar'!$C:$C,'Plaza SP Tar'!I:I)</f>
        <v>3303741.6688316762</v>
      </c>
      <c r="N404" s="1">
        <v>40000</v>
      </c>
      <c r="O404" s="1">
        <f>_xlfn.XLOOKUP($C404,'Plaza SP Tar'!$C:$C,'Plaza SP Tar'!J:J)</f>
        <v>3557875.6433571898</v>
      </c>
      <c r="P404" s="1">
        <v>45000</v>
      </c>
      <c r="Q404" s="1">
        <f>_xlfn.XLOOKUP($C404,'Plaza SP Tar'!$C:$C,'Plaza SP Tar'!K:K)</f>
        <v>3812009.6178827034</v>
      </c>
      <c r="R404">
        <v>50000</v>
      </c>
    </row>
    <row r="405" spans="1:18" x14ac:dyDescent="0.25">
      <c r="A405" t="s">
        <v>387</v>
      </c>
      <c r="B405" t="s">
        <v>436</v>
      </c>
      <c r="C405" t="s">
        <v>440</v>
      </c>
      <c r="D405" s="1">
        <v>5516791</v>
      </c>
      <c r="E405" s="1">
        <f>_xlfn.XLOOKUP($C405,'Plaza SP Tar'!$C:$C,'Plaza SP Tar'!E:E)</f>
        <v>6021753.9465851448</v>
      </c>
      <c r="F405" s="1">
        <v>10000</v>
      </c>
      <c r="G405" s="1">
        <f>_xlfn.XLOOKUP($C405,'Plaza SP Tar'!$C:$C,'Plaza SP Tar'!F:F)</f>
        <v>6882004.5103830229</v>
      </c>
      <c r="H405" s="1">
        <v>18000</v>
      </c>
      <c r="I405" s="1">
        <f>_xlfn.XLOOKUP($C405,'Plaza SP Tar'!$C:$C,'Plaza SP Tar'!G:G)</f>
        <v>7570204.9614213239</v>
      </c>
      <c r="J405" s="1">
        <v>25000</v>
      </c>
      <c r="K405" s="1">
        <f>_xlfn.XLOOKUP($C405,'Plaza SP Tar'!$C:$C,'Plaza SP Tar'!H:H)</f>
        <v>8258405.4124596268</v>
      </c>
      <c r="L405" s="1">
        <v>30000</v>
      </c>
      <c r="M405" s="1">
        <f>_xlfn.XLOOKUP($C405,'Plaza SP Tar'!$C:$C,'Plaza SP Tar'!I:I)</f>
        <v>8946605.8634979296</v>
      </c>
      <c r="N405" s="1">
        <v>40000</v>
      </c>
      <c r="O405" s="1">
        <f>_xlfn.XLOOKUP($C405,'Plaza SP Tar'!$C:$C,'Plaza SP Tar'!J:J)</f>
        <v>9634806.3145362306</v>
      </c>
      <c r="P405" s="1">
        <v>45000</v>
      </c>
      <c r="Q405" s="1">
        <f>_xlfn.XLOOKUP($C405,'Plaza SP Tar'!$C:$C,'Plaza SP Tar'!K:K)</f>
        <v>10323006.765574533</v>
      </c>
      <c r="R405">
        <v>50000</v>
      </c>
    </row>
    <row r="406" spans="1:18" x14ac:dyDescent="0.25">
      <c r="A406" t="s">
        <v>387</v>
      </c>
      <c r="B406" t="s">
        <v>436</v>
      </c>
      <c r="C406" t="s">
        <v>441</v>
      </c>
      <c r="D406" s="1">
        <v>2898095</v>
      </c>
      <c r="E406" s="1">
        <f>_xlfn.XLOOKUP($C406,'Plaza SP Tar'!$C:$C,'Plaza SP Tar'!E:E)</f>
        <v>3163363.4487564741</v>
      </c>
      <c r="F406" s="1">
        <v>10000</v>
      </c>
      <c r="G406" s="1">
        <f>_xlfn.XLOOKUP($C406,'Plaza SP Tar'!$C:$C,'Plaza SP Tar'!F:F)</f>
        <v>3615272.5128645413</v>
      </c>
      <c r="H406" s="1">
        <v>18000</v>
      </c>
      <c r="I406" s="1">
        <f>_xlfn.XLOOKUP($C406,'Plaza SP Tar'!$C:$C,'Plaza SP Tar'!G:G)</f>
        <v>3976799.7641509953</v>
      </c>
      <c r="J406" s="1">
        <v>25000</v>
      </c>
      <c r="K406" s="1">
        <f>_xlfn.XLOOKUP($C406,'Plaza SP Tar'!$C:$C,'Plaza SP Tar'!H:H)</f>
        <v>4338327.0154374493</v>
      </c>
      <c r="L406" s="1">
        <v>30000</v>
      </c>
      <c r="M406" s="1">
        <f>_xlfn.XLOOKUP($C406,'Plaza SP Tar'!$C:$C,'Plaza SP Tar'!I:I)</f>
        <v>4699854.2667239038</v>
      </c>
      <c r="N406" s="1">
        <v>40000</v>
      </c>
      <c r="O406" s="1">
        <f>_xlfn.XLOOKUP($C406,'Plaza SP Tar'!$C:$C,'Plaza SP Tar'!J:J)</f>
        <v>5061381.5180103574</v>
      </c>
      <c r="P406" s="1">
        <v>45000</v>
      </c>
      <c r="Q406" s="1">
        <f>_xlfn.XLOOKUP($C406,'Plaza SP Tar'!$C:$C,'Plaza SP Tar'!K:K)</f>
        <v>5422908.7692968119</v>
      </c>
      <c r="R406">
        <v>50000</v>
      </c>
    </row>
    <row r="407" spans="1:18" x14ac:dyDescent="0.25">
      <c r="A407" t="s">
        <v>387</v>
      </c>
      <c r="B407" t="s">
        <v>436</v>
      </c>
      <c r="C407" t="s">
        <v>442</v>
      </c>
      <c r="D407" s="1">
        <v>8884387</v>
      </c>
      <c r="E407" s="1">
        <f>_xlfn.XLOOKUP($C407,'Plaza SP Tar'!$C:$C,'Plaza SP Tar'!E:E)</f>
        <v>9697592.7636627443</v>
      </c>
      <c r="F407" s="1">
        <v>10000</v>
      </c>
      <c r="G407" s="1">
        <f>_xlfn.XLOOKUP($C407,'Plaza SP Tar'!$C:$C,'Plaza SP Tar'!F:F)</f>
        <v>11082963.158471707</v>
      </c>
      <c r="H407" s="1">
        <v>18000</v>
      </c>
      <c r="I407" s="1">
        <f>_xlfn.XLOOKUP($C407,'Plaza SP Tar'!$C:$C,'Plaza SP Tar'!G:G)</f>
        <v>12191259.474318877</v>
      </c>
      <c r="J407" s="1">
        <v>25000</v>
      </c>
      <c r="K407" s="1">
        <f>_xlfn.XLOOKUP($C407,'Plaza SP Tar'!$C:$C,'Plaza SP Tar'!H:H)</f>
        <v>13299555.790166048</v>
      </c>
      <c r="L407" s="1">
        <v>30000</v>
      </c>
      <c r="M407" s="1">
        <f>_xlfn.XLOOKUP($C407,'Plaza SP Tar'!$C:$C,'Plaza SP Tar'!I:I)</f>
        <v>14407852.10601322</v>
      </c>
      <c r="N407" s="1">
        <v>40000</v>
      </c>
      <c r="O407" s="1">
        <f>_xlfn.XLOOKUP($C407,'Plaza SP Tar'!$C:$C,'Plaza SP Tar'!J:J)</f>
        <v>15516148.421860389</v>
      </c>
      <c r="P407" s="1">
        <v>45000</v>
      </c>
      <c r="Q407" s="1">
        <f>_xlfn.XLOOKUP($C407,'Plaza SP Tar'!$C:$C,'Plaza SP Tar'!K:K)</f>
        <v>16624444.737707561</v>
      </c>
      <c r="R407">
        <v>50000</v>
      </c>
    </row>
    <row r="408" spans="1:18" x14ac:dyDescent="0.25">
      <c r="A408" t="s">
        <v>387</v>
      </c>
      <c r="B408" t="s">
        <v>436</v>
      </c>
      <c r="C408" t="s">
        <v>443</v>
      </c>
      <c r="D408" s="1">
        <v>4084537</v>
      </c>
      <c r="E408" s="1">
        <f>_xlfn.XLOOKUP($C408,'Plaza SP Tar'!$C:$C,'Plaza SP Tar'!E:E)</f>
        <v>4458402.8649486722</v>
      </c>
      <c r="F408" s="1">
        <v>10000</v>
      </c>
      <c r="G408" s="1">
        <f>_xlfn.XLOOKUP($C408,'Plaza SP Tar'!$C:$C,'Plaza SP Tar'!F:F)</f>
        <v>5095317.5599413393</v>
      </c>
      <c r="H408" s="1">
        <v>18000</v>
      </c>
      <c r="I408" s="1">
        <f>_xlfn.XLOOKUP($C408,'Plaza SP Tar'!$C:$C,'Plaza SP Tar'!G:G)</f>
        <v>5604849.315935473</v>
      </c>
      <c r="J408" s="1">
        <v>25000</v>
      </c>
      <c r="K408" s="1">
        <f>_xlfn.XLOOKUP($C408,'Plaza SP Tar'!$C:$C,'Plaza SP Tar'!H:H)</f>
        <v>6114381.0719296066</v>
      </c>
      <c r="L408" s="1">
        <v>30000</v>
      </c>
      <c r="M408" s="1">
        <f>_xlfn.XLOOKUP($C408,'Plaza SP Tar'!$C:$C,'Plaza SP Tar'!I:I)</f>
        <v>6623912.8279237412</v>
      </c>
      <c r="N408" s="1">
        <v>40000</v>
      </c>
      <c r="O408" s="1">
        <f>_xlfn.XLOOKUP($C408,'Plaza SP Tar'!$C:$C,'Plaza SP Tar'!J:J)</f>
        <v>7133444.5839178739</v>
      </c>
      <c r="P408" s="1">
        <v>45000</v>
      </c>
      <c r="Q408" s="1">
        <f>_xlfn.XLOOKUP($C408,'Plaza SP Tar'!$C:$C,'Plaza SP Tar'!K:K)</f>
        <v>7642976.3399120085</v>
      </c>
      <c r="R408">
        <v>50000</v>
      </c>
    </row>
    <row r="409" spans="1:18" x14ac:dyDescent="0.25">
      <c r="A409" t="s">
        <v>387</v>
      </c>
      <c r="B409" t="s">
        <v>436</v>
      </c>
      <c r="C409" t="s">
        <v>444</v>
      </c>
      <c r="D409" s="1">
        <v>5493576</v>
      </c>
      <c r="E409" s="1">
        <f>_xlfn.XLOOKUP($C409,'Plaza SP Tar'!$C:$C,'Plaza SP Tar'!E:E)</f>
        <v>5996414.0310672335</v>
      </c>
      <c r="F409" s="1">
        <v>10000</v>
      </c>
      <c r="G409" s="1">
        <f>_xlfn.XLOOKUP($C409,'Plaza SP Tar'!$C:$C,'Plaza SP Tar'!F:F)</f>
        <v>6853044.6069339812</v>
      </c>
      <c r="H409" s="1">
        <v>18000</v>
      </c>
      <c r="I409" s="1">
        <f>_xlfn.XLOOKUP($C409,'Plaza SP Tar'!$C:$C,'Plaza SP Tar'!G:G)</f>
        <v>7538349.0676273787</v>
      </c>
      <c r="J409" s="1">
        <v>25000</v>
      </c>
      <c r="K409" s="1">
        <f>_xlfn.XLOOKUP($C409,'Plaza SP Tar'!$C:$C,'Plaza SP Tar'!H:H)</f>
        <v>8223653.5283207772</v>
      </c>
      <c r="L409" s="1">
        <v>30000</v>
      </c>
      <c r="M409" s="1">
        <f>_xlfn.XLOOKUP($C409,'Plaza SP Tar'!$C:$C,'Plaza SP Tar'!I:I)</f>
        <v>8908957.9890141748</v>
      </c>
      <c r="N409" s="1">
        <v>40000</v>
      </c>
      <c r="O409" s="1">
        <f>_xlfn.XLOOKUP($C409,'Plaza SP Tar'!$C:$C,'Plaza SP Tar'!J:J)</f>
        <v>9594262.4497075733</v>
      </c>
      <c r="P409" s="1">
        <v>45000</v>
      </c>
      <c r="Q409" s="1">
        <f>_xlfn.XLOOKUP($C409,'Plaza SP Tar'!$C:$C,'Plaza SP Tar'!K:K)</f>
        <v>10279566.910400972</v>
      </c>
      <c r="R409">
        <v>50000</v>
      </c>
    </row>
    <row r="410" spans="1:18" x14ac:dyDescent="0.25">
      <c r="A410" t="s">
        <v>387</v>
      </c>
      <c r="B410" t="s">
        <v>436</v>
      </c>
      <c r="C410" t="s">
        <v>445</v>
      </c>
      <c r="D410" s="1">
        <v>2453670</v>
      </c>
      <c r="E410" s="1">
        <f>_xlfn.XLOOKUP($C410,'Plaza SP Tar'!$C:$C,'Plaza SP Tar'!E:E)</f>
        <v>2678259.3370163147</v>
      </c>
      <c r="F410" s="1">
        <v>10000</v>
      </c>
      <c r="G410" s="1">
        <f>_xlfn.XLOOKUP($C410,'Plaza SP Tar'!$C:$C,'Plaza SP Tar'!F:F)</f>
        <v>3060867.8137329314</v>
      </c>
      <c r="H410" s="1">
        <v>18000</v>
      </c>
      <c r="I410" s="1">
        <f>_xlfn.XLOOKUP($C410,'Plaza SP Tar'!$C:$C,'Plaza SP Tar'!G:G)</f>
        <v>3366954.5951062241</v>
      </c>
      <c r="J410" s="1">
        <v>25000</v>
      </c>
      <c r="K410" s="1">
        <f>_xlfn.XLOOKUP($C410,'Plaza SP Tar'!$C:$C,'Plaza SP Tar'!H:H)</f>
        <v>3673041.3764795172</v>
      </c>
      <c r="L410" s="1">
        <v>30000</v>
      </c>
      <c r="M410" s="1">
        <f>_xlfn.XLOOKUP($C410,'Plaza SP Tar'!$C:$C,'Plaza SP Tar'!I:I)</f>
        <v>3979128.1578528108</v>
      </c>
      <c r="N410" s="1">
        <v>40000</v>
      </c>
      <c r="O410" s="1">
        <f>_xlfn.XLOOKUP($C410,'Plaza SP Tar'!$C:$C,'Plaza SP Tar'!J:J)</f>
        <v>4285214.939226103</v>
      </c>
      <c r="P410" s="1">
        <v>45000</v>
      </c>
      <c r="Q410" s="1">
        <f>_xlfn.XLOOKUP($C410,'Plaza SP Tar'!$C:$C,'Plaza SP Tar'!K:K)</f>
        <v>4591301.7205993971</v>
      </c>
      <c r="R410">
        <v>50000</v>
      </c>
    </row>
    <row r="411" spans="1:18" x14ac:dyDescent="0.25">
      <c r="A411" t="s">
        <v>387</v>
      </c>
      <c r="B411" t="s">
        <v>436</v>
      </c>
      <c r="C411" t="s">
        <v>446</v>
      </c>
      <c r="D411" s="1">
        <v>4795522</v>
      </c>
      <c r="E411" s="1">
        <f>_xlfn.XLOOKUP($C411,'Plaza SP Tar'!$C:$C,'Plaza SP Tar'!E:E)</f>
        <v>5234465.7481923616</v>
      </c>
      <c r="F411" s="1">
        <v>10000</v>
      </c>
      <c r="G411" s="1">
        <f>_xlfn.XLOOKUP($C411,'Plaza SP Tar'!$C:$C,'Plaza SP Tar'!F:F)</f>
        <v>5982246.5693626991</v>
      </c>
      <c r="H411" s="1">
        <v>18000</v>
      </c>
      <c r="I411" s="1">
        <f>_xlfn.XLOOKUP($C411,'Plaza SP Tar'!$C:$C,'Plaza SP Tar'!G:G)</f>
        <v>6580471.2262989683</v>
      </c>
      <c r="J411" s="1">
        <v>25000</v>
      </c>
      <c r="K411" s="1">
        <f>_xlfn.XLOOKUP($C411,'Plaza SP Tar'!$C:$C,'Plaza SP Tar'!H:H)</f>
        <v>7178695.8832352385</v>
      </c>
      <c r="L411" s="1">
        <v>30000</v>
      </c>
      <c r="M411" s="1">
        <f>_xlfn.XLOOKUP($C411,'Plaza SP Tar'!$C:$C,'Plaza SP Tar'!I:I)</f>
        <v>7776920.5401715087</v>
      </c>
      <c r="N411" s="1">
        <v>40000</v>
      </c>
      <c r="O411" s="1">
        <f>_xlfn.XLOOKUP($C411,'Plaza SP Tar'!$C:$C,'Plaza SP Tar'!J:J)</f>
        <v>8375145.1971077779</v>
      </c>
      <c r="P411" s="1">
        <v>45000</v>
      </c>
      <c r="Q411" s="1">
        <f>_xlfn.XLOOKUP($C411,'Plaza SP Tar'!$C:$C,'Plaza SP Tar'!K:K)</f>
        <v>8973369.8540440481</v>
      </c>
      <c r="R411">
        <v>50000</v>
      </c>
    </row>
    <row r="412" spans="1:18" x14ac:dyDescent="0.25">
      <c r="A412" t="s">
        <v>387</v>
      </c>
      <c r="B412" t="s">
        <v>436</v>
      </c>
      <c r="C412" t="s">
        <v>447</v>
      </c>
      <c r="D412" s="1">
        <v>3196074</v>
      </c>
      <c r="E412" s="1">
        <f>_xlfn.XLOOKUP($C412,'Plaza SP Tar'!$C:$C,'Plaza SP Tar'!E:E)</f>
        <v>3488617.064354653</v>
      </c>
      <c r="F412" s="1">
        <v>10000</v>
      </c>
      <c r="G412" s="1">
        <f>_xlfn.XLOOKUP($C412,'Plaza SP Tar'!$C:$C,'Plaza SP Tar'!F:F)</f>
        <v>3986990.9306910322</v>
      </c>
      <c r="H412" s="1">
        <v>18000</v>
      </c>
      <c r="I412" s="1">
        <f>_xlfn.XLOOKUP($C412,'Plaza SP Tar'!$C:$C,'Plaza SP Tar'!G:G)</f>
        <v>4385690.0237601344</v>
      </c>
      <c r="J412" s="1">
        <v>25000</v>
      </c>
      <c r="K412" s="1">
        <f>_xlfn.XLOOKUP($C412,'Plaza SP Tar'!$C:$C,'Plaza SP Tar'!H:H)</f>
        <v>4784389.1168292379</v>
      </c>
      <c r="L412" s="1">
        <v>30000</v>
      </c>
      <c r="M412" s="1">
        <f>_xlfn.XLOOKUP($C412,'Plaza SP Tar'!$C:$C,'Plaza SP Tar'!I:I)</f>
        <v>5183088.2098983414</v>
      </c>
      <c r="N412" s="1">
        <v>40000</v>
      </c>
      <c r="O412" s="1">
        <f>_xlfn.XLOOKUP($C412,'Plaza SP Tar'!$C:$C,'Plaza SP Tar'!J:J)</f>
        <v>5581787.3029674441</v>
      </c>
      <c r="P412" s="1">
        <v>45000</v>
      </c>
      <c r="Q412" s="1">
        <f>_xlfn.XLOOKUP($C412,'Plaza SP Tar'!$C:$C,'Plaza SP Tar'!K:K)</f>
        <v>5980486.3960365476</v>
      </c>
      <c r="R412">
        <v>50000</v>
      </c>
    </row>
    <row r="413" spans="1:18" x14ac:dyDescent="0.25">
      <c r="A413" t="s">
        <v>387</v>
      </c>
      <c r="B413" t="s">
        <v>436</v>
      </c>
      <c r="C413" t="s">
        <v>448</v>
      </c>
      <c r="D413" s="1">
        <v>5335334</v>
      </c>
      <c r="E413" s="1">
        <f>_xlfn.XLOOKUP($C413,'Plaza SP Tar'!$C:$C,'Plaza SP Tar'!E:E)</f>
        <v>5823687.8233831786</v>
      </c>
      <c r="F413" s="1">
        <v>10000</v>
      </c>
      <c r="G413" s="1">
        <f>_xlfn.XLOOKUP($C413,'Plaza SP Tar'!$C:$C,'Plaza SP Tar'!F:F)</f>
        <v>6655643.2267236328</v>
      </c>
      <c r="H413" s="1">
        <v>18000</v>
      </c>
      <c r="I413" s="1">
        <f>_xlfn.XLOOKUP($C413,'Plaza SP Tar'!$C:$C,'Plaza SP Tar'!G:G)</f>
        <v>7321207.5493959952</v>
      </c>
      <c r="J413" s="1">
        <v>25000</v>
      </c>
      <c r="K413" s="1">
        <f>_xlfn.XLOOKUP($C413,'Plaza SP Tar'!$C:$C,'Plaza SP Tar'!H:H)</f>
        <v>7986771.8720683586</v>
      </c>
      <c r="L413" s="1">
        <v>30000</v>
      </c>
      <c r="M413" s="1">
        <f>_xlfn.XLOOKUP($C413,'Plaza SP Tar'!$C:$C,'Plaza SP Tar'!I:I)</f>
        <v>8652336.194740722</v>
      </c>
      <c r="N413" s="1">
        <v>40000</v>
      </c>
      <c r="O413" s="1">
        <f>_xlfn.XLOOKUP($C413,'Plaza SP Tar'!$C:$C,'Plaza SP Tar'!J:J)</f>
        <v>9317900.5174130853</v>
      </c>
      <c r="P413" s="1">
        <v>45000</v>
      </c>
      <c r="Q413" s="1">
        <f>_xlfn.XLOOKUP($C413,'Plaza SP Tar'!$C:$C,'Plaza SP Tar'!K:K)</f>
        <v>9983464.8400854487</v>
      </c>
      <c r="R413">
        <v>50000</v>
      </c>
    </row>
    <row r="414" spans="1:18" x14ac:dyDescent="0.25">
      <c r="A414" t="s">
        <v>387</v>
      </c>
      <c r="B414" t="s">
        <v>436</v>
      </c>
      <c r="C414" t="s">
        <v>449</v>
      </c>
      <c r="D414" s="1">
        <v>5876252</v>
      </c>
      <c r="E414" s="1">
        <f>_xlfn.XLOOKUP($C414,'Plaza SP Tar'!$C:$C,'Plaza SP Tar'!E:E)</f>
        <v>6414117.1329725655</v>
      </c>
      <c r="F414" s="1">
        <v>10000</v>
      </c>
      <c r="G414" s="1">
        <f>_xlfn.XLOOKUP($C414,'Plaza SP Tar'!$C:$C,'Plaza SP Tar'!F:F)</f>
        <v>7330419.580540075</v>
      </c>
      <c r="H414" s="1">
        <v>18000</v>
      </c>
      <c r="I414" s="1">
        <f>_xlfn.XLOOKUP($C414,'Plaza SP Tar'!$C:$C,'Plaza SP Tar'!G:G)</f>
        <v>8063461.5385940811</v>
      </c>
      <c r="J414" s="1">
        <v>25000</v>
      </c>
      <c r="K414" s="1">
        <f>_xlfn.XLOOKUP($C414,'Plaza SP Tar'!$C:$C,'Plaza SP Tar'!H:H)</f>
        <v>8796503.49664809</v>
      </c>
      <c r="L414" s="1">
        <v>30000</v>
      </c>
      <c r="M414" s="1">
        <f>_xlfn.XLOOKUP($C414,'Plaza SP Tar'!$C:$C,'Plaza SP Tar'!I:I)</f>
        <v>9529545.4547020961</v>
      </c>
      <c r="N414" s="1">
        <v>40000</v>
      </c>
      <c r="O414" s="1">
        <f>_xlfn.XLOOKUP($C414,'Plaza SP Tar'!$C:$C,'Plaza SP Tar'!J:J)</f>
        <v>10262587.412756104</v>
      </c>
      <c r="P414" s="1">
        <v>45000</v>
      </c>
      <c r="Q414" s="1">
        <f>_xlfn.XLOOKUP($C414,'Plaza SP Tar'!$C:$C,'Plaza SP Tar'!K:K)</f>
        <v>10995629.370810112</v>
      </c>
      <c r="R414">
        <v>50000</v>
      </c>
    </row>
    <row r="415" spans="1:18" x14ac:dyDescent="0.25">
      <c r="A415" t="s">
        <v>387</v>
      </c>
      <c r="B415" t="s">
        <v>436</v>
      </c>
      <c r="C415" t="s">
        <v>450</v>
      </c>
      <c r="D415" s="1">
        <v>4229581</v>
      </c>
      <c r="E415" s="1">
        <f>_xlfn.XLOOKUP($C415,'Plaza SP Tar'!$C:$C,'Plaza SP Tar'!E:E)</f>
        <v>4616723.0332183233</v>
      </c>
      <c r="F415" s="1">
        <v>10000</v>
      </c>
      <c r="G415" s="1">
        <f>_xlfn.XLOOKUP($C415,'Plaza SP Tar'!$C:$C,'Plaza SP Tar'!F:F)</f>
        <v>5276254.8951066546</v>
      </c>
      <c r="H415" s="1">
        <v>18000</v>
      </c>
      <c r="I415" s="1">
        <f>_xlfn.XLOOKUP($C415,'Plaza SP Tar'!$C:$C,'Plaza SP Tar'!G:G)</f>
        <v>5803880.3846173193</v>
      </c>
      <c r="J415" s="1">
        <v>25000</v>
      </c>
      <c r="K415" s="1">
        <f>_xlfn.XLOOKUP($C415,'Plaza SP Tar'!$C:$C,'Plaza SP Tar'!H:H)</f>
        <v>6331505.874127985</v>
      </c>
      <c r="L415" s="1">
        <v>30000</v>
      </c>
      <c r="M415" s="1">
        <f>_xlfn.XLOOKUP($C415,'Plaza SP Tar'!$C:$C,'Plaza SP Tar'!I:I)</f>
        <v>6859131.3636386506</v>
      </c>
      <c r="N415" s="1">
        <v>40000</v>
      </c>
      <c r="O415" s="1">
        <f>_xlfn.XLOOKUP($C415,'Plaza SP Tar'!$C:$C,'Plaza SP Tar'!J:J)</f>
        <v>7386756.8531493153</v>
      </c>
      <c r="P415" s="1">
        <v>45000</v>
      </c>
      <c r="Q415" s="1">
        <f>_xlfn.XLOOKUP($C415,'Plaza SP Tar'!$C:$C,'Plaza SP Tar'!K:K)</f>
        <v>7914382.3426599819</v>
      </c>
      <c r="R415">
        <v>50000</v>
      </c>
    </row>
    <row r="416" spans="1:18" x14ac:dyDescent="0.25">
      <c r="A416" t="s">
        <v>451</v>
      </c>
      <c r="B416" t="s">
        <v>452</v>
      </c>
      <c r="C416" t="s">
        <v>453</v>
      </c>
      <c r="D416" s="1">
        <v>2445668</v>
      </c>
      <c r="E416" s="1">
        <f>_xlfn.XLOOKUP($C416,'Plaza SP Tar'!$C:$C,'Plaza SP Tar'!E:E)</f>
        <v>2669524.8979047779</v>
      </c>
      <c r="F416" s="1">
        <v>10000</v>
      </c>
      <c r="G416" s="1">
        <f>_xlfn.XLOOKUP($C416,'Plaza SP Tar'!$C:$C,'Plaza SP Tar'!F:F)</f>
        <v>3050885.5976054608</v>
      </c>
      <c r="H416" s="1">
        <v>18000</v>
      </c>
      <c r="I416" s="1">
        <f>_xlfn.XLOOKUP($C416,'Plaza SP Tar'!$C:$C,'Plaza SP Tar'!G:G)</f>
        <v>3355974.1573660062</v>
      </c>
      <c r="J416" s="1">
        <v>25000</v>
      </c>
      <c r="K416" s="1">
        <f>_xlfn.XLOOKUP($C416,'Plaza SP Tar'!$C:$C,'Plaza SP Tar'!H:H)</f>
        <v>3661062.7171265525</v>
      </c>
      <c r="L416" s="1">
        <v>30000</v>
      </c>
      <c r="M416" s="1">
        <f>_xlfn.XLOOKUP($C416,'Plaza SP Tar'!$C:$C,'Plaza SP Tar'!I:I)</f>
        <v>3966151.2768870988</v>
      </c>
      <c r="N416" s="1">
        <v>40000</v>
      </c>
      <c r="O416" s="1">
        <f>_xlfn.XLOOKUP($C416,'Plaza SP Tar'!$C:$C,'Plaza SP Tar'!J:J)</f>
        <v>4271239.8366476446</v>
      </c>
      <c r="P416" s="1">
        <v>45000</v>
      </c>
      <c r="Q416" s="1">
        <f>_xlfn.XLOOKUP($C416,'Plaza SP Tar'!$C:$C,'Plaza SP Tar'!K:K)</f>
        <v>4576328.396408191</v>
      </c>
      <c r="R416">
        <v>50000</v>
      </c>
    </row>
    <row r="417" spans="1:18" x14ac:dyDescent="0.25">
      <c r="A417" t="s">
        <v>451</v>
      </c>
      <c r="B417" t="s">
        <v>452</v>
      </c>
      <c r="C417" t="s">
        <v>454</v>
      </c>
      <c r="D417" s="1">
        <v>3229427</v>
      </c>
      <c r="E417" s="1">
        <f>_xlfn.XLOOKUP($C417,'Plaza SP Tar'!$C:$C,'Plaza SP Tar'!E:E)</f>
        <v>3525022.9313487904</v>
      </c>
      <c r="F417" s="1">
        <v>10000</v>
      </c>
      <c r="G417" s="1">
        <f>_xlfn.XLOOKUP($C417,'Plaza SP Tar'!$C:$C,'Plaza SP Tar'!F:F)</f>
        <v>4028597.6358271893</v>
      </c>
      <c r="H417" s="1">
        <v>18000</v>
      </c>
      <c r="I417" s="1">
        <f>_xlfn.XLOOKUP($C417,'Plaza SP Tar'!$C:$C,'Plaza SP Tar'!G:G)</f>
        <v>4431457.3994099079</v>
      </c>
      <c r="J417" s="1">
        <v>25000</v>
      </c>
      <c r="K417" s="1">
        <f>_xlfn.XLOOKUP($C417,'Plaza SP Tar'!$C:$C,'Plaza SP Tar'!H:H)</f>
        <v>4834317.1629926264</v>
      </c>
      <c r="L417" s="1">
        <v>30000</v>
      </c>
      <c r="M417" s="1">
        <f>_xlfn.XLOOKUP($C417,'Plaza SP Tar'!$C:$C,'Plaza SP Tar'!I:I)</f>
        <v>5237176.9265753459</v>
      </c>
      <c r="N417" s="1">
        <v>40000</v>
      </c>
      <c r="O417" s="1">
        <f>_xlfn.XLOOKUP($C417,'Plaza SP Tar'!$C:$C,'Plaza SP Tar'!J:J)</f>
        <v>5640036.6901580645</v>
      </c>
      <c r="P417" s="1">
        <v>45000</v>
      </c>
      <c r="Q417" s="1">
        <f>_xlfn.XLOOKUP($C417,'Plaza SP Tar'!$C:$C,'Plaza SP Tar'!K:K)</f>
        <v>6042896.453740783</v>
      </c>
      <c r="R417">
        <v>50000</v>
      </c>
    </row>
    <row r="418" spans="1:18" x14ac:dyDescent="0.25">
      <c r="A418" t="s">
        <v>451</v>
      </c>
      <c r="B418" t="s">
        <v>452</v>
      </c>
      <c r="C418" t="s">
        <v>455</v>
      </c>
      <c r="D418" s="1">
        <v>3684074</v>
      </c>
      <c r="E418" s="1">
        <f>_xlfn.XLOOKUP($C418,'Plaza SP Tar'!$C:$C,'Plaza SP Tar'!E:E)</f>
        <v>4021284.6832536743</v>
      </c>
      <c r="F418" s="1">
        <v>10000</v>
      </c>
      <c r="G418" s="1">
        <f>_xlfn.XLOOKUP($C418,'Plaza SP Tar'!$C:$C,'Plaza SP Tar'!F:F)</f>
        <v>4595753.923718485</v>
      </c>
      <c r="H418" s="1">
        <v>18000</v>
      </c>
      <c r="I418" s="1">
        <f>_xlfn.XLOOKUP($C418,'Plaza SP Tar'!$C:$C,'Plaza SP Tar'!G:G)</f>
        <v>5055329.3160903333</v>
      </c>
      <c r="J418" s="1">
        <v>25000</v>
      </c>
      <c r="K418" s="1">
        <f>_xlfn.XLOOKUP($C418,'Plaza SP Tar'!$C:$C,'Plaza SP Tar'!H:H)</f>
        <v>5514904.7084621815</v>
      </c>
      <c r="L418" s="1">
        <v>30000</v>
      </c>
      <c r="M418" s="1">
        <f>_xlfn.XLOOKUP($C418,'Plaza SP Tar'!$C:$C,'Plaza SP Tar'!I:I)</f>
        <v>5974480.1008340307</v>
      </c>
      <c r="N418" s="1">
        <v>40000</v>
      </c>
      <c r="O418" s="1">
        <f>_xlfn.XLOOKUP($C418,'Plaza SP Tar'!$C:$C,'Plaza SP Tar'!J:J)</f>
        <v>6434055.493205878</v>
      </c>
      <c r="P418" s="1">
        <v>45000</v>
      </c>
      <c r="Q418" s="1">
        <f>_xlfn.XLOOKUP($C418,'Plaza SP Tar'!$C:$C,'Plaza SP Tar'!K:K)</f>
        <v>6893630.8855777271</v>
      </c>
      <c r="R418">
        <v>50000</v>
      </c>
    </row>
    <row r="419" spans="1:18" x14ac:dyDescent="0.25">
      <c r="A419" t="s">
        <v>451</v>
      </c>
      <c r="B419" t="s">
        <v>452</v>
      </c>
      <c r="C419" t="s">
        <v>456</v>
      </c>
      <c r="D419" s="1">
        <v>6087940</v>
      </c>
      <c r="E419" s="1">
        <f>_xlfn.XLOOKUP($C419,'Plaza SP Tar'!$C:$C,'Plaza SP Tar'!E:E)</f>
        <v>6645181.3602461228</v>
      </c>
      <c r="F419" s="1">
        <v>10000</v>
      </c>
      <c r="G419" s="1">
        <f>_xlfn.XLOOKUP($C419,'Plaza SP Tar'!$C:$C,'Plaza SP Tar'!F:F)</f>
        <v>7594492.9831384262</v>
      </c>
      <c r="H419" s="1">
        <v>18000</v>
      </c>
      <c r="I419" s="1">
        <f>_xlfn.XLOOKUP($C419,'Plaza SP Tar'!$C:$C,'Plaza SP Tar'!G:G)</f>
        <v>8353942.2814522674</v>
      </c>
      <c r="J419" s="1">
        <v>25000</v>
      </c>
      <c r="K419" s="1">
        <f>_xlfn.XLOOKUP($C419,'Plaza SP Tar'!$C:$C,'Plaza SP Tar'!H:H)</f>
        <v>9113391.5797661114</v>
      </c>
      <c r="L419" s="1">
        <v>30000</v>
      </c>
      <c r="M419" s="1">
        <f>_xlfn.XLOOKUP($C419,'Plaza SP Tar'!$C:$C,'Plaza SP Tar'!I:I)</f>
        <v>9872840.8780799545</v>
      </c>
      <c r="N419" s="1">
        <v>40000</v>
      </c>
      <c r="O419" s="1">
        <f>_xlfn.XLOOKUP($C419,'Plaza SP Tar'!$C:$C,'Plaza SP Tar'!J:J)</f>
        <v>10632290.176393796</v>
      </c>
      <c r="P419" s="1">
        <v>45000</v>
      </c>
      <c r="Q419" s="1">
        <f>_xlfn.XLOOKUP($C419,'Plaza SP Tar'!$C:$C,'Plaza SP Tar'!K:K)</f>
        <v>11391739.474707639</v>
      </c>
      <c r="R419">
        <v>50000</v>
      </c>
    </row>
    <row r="420" spans="1:18" x14ac:dyDescent="0.25">
      <c r="A420" t="s">
        <v>451</v>
      </c>
      <c r="B420" t="s">
        <v>452</v>
      </c>
      <c r="C420" t="s">
        <v>457</v>
      </c>
      <c r="D420" s="1">
        <v>5636053</v>
      </c>
      <c r="E420" s="1">
        <f>_xlfn.XLOOKUP($C420,'Plaza SP Tar'!$C:$C,'Plaza SP Tar'!E:E)</f>
        <v>6151932.2366776355</v>
      </c>
      <c r="F420" s="1">
        <v>10000</v>
      </c>
      <c r="G420" s="1">
        <f>_xlfn.XLOOKUP($C420,'Plaza SP Tar'!$C:$C,'Plaza SP Tar'!F:F)</f>
        <v>7030779.6990601541</v>
      </c>
      <c r="H420" s="1">
        <v>18000</v>
      </c>
      <c r="I420" s="1">
        <f>_xlfn.XLOOKUP($C420,'Plaza SP Tar'!$C:$C,'Plaza SP Tar'!G:G)</f>
        <v>7733857.6689661685</v>
      </c>
      <c r="J420" s="1">
        <v>25000</v>
      </c>
      <c r="K420" s="1">
        <f>_xlfn.XLOOKUP($C420,'Plaza SP Tar'!$C:$C,'Plaza SP Tar'!H:H)</f>
        <v>8436935.6388721839</v>
      </c>
      <c r="L420" s="1">
        <v>30000</v>
      </c>
      <c r="M420" s="1">
        <f>_xlfn.XLOOKUP($C420,'Plaza SP Tar'!$C:$C,'Plaza SP Tar'!I:I)</f>
        <v>9140013.608778201</v>
      </c>
      <c r="N420" s="1">
        <v>40000</v>
      </c>
      <c r="O420" s="1">
        <f>_xlfn.XLOOKUP($C420,'Plaza SP Tar'!$C:$C,'Plaza SP Tar'!J:J)</f>
        <v>9843091.5786842145</v>
      </c>
      <c r="P420" s="1">
        <v>45000</v>
      </c>
      <c r="Q420" s="1">
        <f>_xlfn.XLOOKUP($C420,'Plaza SP Tar'!$C:$C,'Plaza SP Tar'!K:K)</f>
        <v>10546169.54859023</v>
      </c>
      <c r="R420">
        <v>50000</v>
      </c>
    </row>
    <row r="421" spans="1:18" x14ac:dyDescent="0.25">
      <c r="A421" t="s">
        <v>451</v>
      </c>
      <c r="B421" t="s">
        <v>452</v>
      </c>
      <c r="C421" t="s">
        <v>458</v>
      </c>
      <c r="D421" s="1">
        <v>5469470</v>
      </c>
      <c r="E421" s="1">
        <f>_xlfn.XLOOKUP($C421,'Plaza SP Tar'!$C:$C,'Plaza SP Tar'!E:E)</f>
        <v>5970101.5605320288</v>
      </c>
      <c r="F421" s="1">
        <v>10000</v>
      </c>
      <c r="G421" s="1">
        <f>_xlfn.XLOOKUP($C421,'Plaza SP Tar'!$C:$C,'Plaza SP Tar'!F:F)</f>
        <v>6822973.212036605</v>
      </c>
      <c r="H421" s="1">
        <v>18000</v>
      </c>
      <c r="I421" s="1">
        <f>_xlfn.XLOOKUP($C421,'Plaza SP Tar'!$C:$C,'Plaza SP Tar'!G:G)</f>
        <v>7505270.5332402643</v>
      </c>
      <c r="J421" s="1">
        <v>25000</v>
      </c>
      <c r="K421" s="1">
        <f>_xlfn.XLOOKUP($C421,'Plaza SP Tar'!$C:$C,'Plaza SP Tar'!H:H)</f>
        <v>8187567.8544439254</v>
      </c>
      <c r="L421" s="1">
        <v>30000</v>
      </c>
      <c r="M421" s="1">
        <f>_xlfn.XLOOKUP($C421,'Plaza SP Tar'!$C:$C,'Plaza SP Tar'!I:I)</f>
        <v>8869865.1756475866</v>
      </c>
      <c r="N421" s="1">
        <v>40000</v>
      </c>
      <c r="O421" s="1">
        <f>_xlfn.XLOOKUP($C421,'Plaza SP Tar'!$C:$C,'Plaza SP Tar'!J:J)</f>
        <v>9552162.4968512449</v>
      </c>
      <c r="P421" s="1">
        <v>45000</v>
      </c>
      <c r="Q421" s="1">
        <f>_xlfn.XLOOKUP($C421,'Plaza SP Tar'!$C:$C,'Plaza SP Tar'!K:K)</f>
        <v>10234459.818054907</v>
      </c>
      <c r="R421">
        <v>50000</v>
      </c>
    </row>
    <row r="422" spans="1:18" x14ac:dyDescent="0.25">
      <c r="A422" t="s">
        <v>451</v>
      </c>
      <c r="B422" t="s">
        <v>452</v>
      </c>
      <c r="C422" t="s">
        <v>459</v>
      </c>
      <c r="D422" s="1">
        <v>1700000</v>
      </c>
      <c r="E422" s="1">
        <f>_xlfn.XLOOKUP($C422,'Plaza SP Tar'!$C:$C,'Plaza SP Tar'!E:E)</f>
        <v>1855604.4100990498</v>
      </c>
      <c r="F422" s="1">
        <v>10000</v>
      </c>
      <c r="G422" s="1">
        <f>_xlfn.XLOOKUP($C422,'Plaza SP Tar'!$C:$C,'Plaza SP Tar'!F:F)</f>
        <v>2120690.7543989141</v>
      </c>
      <c r="H422" s="1">
        <v>18000</v>
      </c>
      <c r="I422" s="1">
        <f>_xlfn.XLOOKUP($C422,'Plaza SP Tar'!$C:$C,'Plaza SP Tar'!G:G)</f>
        <v>2332759.8298388049</v>
      </c>
      <c r="J422" s="1">
        <v>25000</v>
      </c>
      <c r="K422" s="1">
        <f>_xlfn.XLOOKUP($C422,'Plaza SP Tar'!$C:$C,'Plaza SP Tar'!H:H)</f>
        <v>2544828.9052786967</v>
      </c>
      <c r="L422" s="1">
        <v>30000</v>
      </c>
      <c r="M422" s="1">
        <f>_xlfn.XLOOKUP($C422,'Plaza SP Tar'!$C:$C,'Plaza SP Tar'!I:I)</f>
        <v>2756897.980718588</v>
      </c>
      <c r="N422" s="1">
        <v>40000</v>
      </c>
      <c r="O422" s="1">
        <f>_xlfn.XLOOKUP($C422,'Plaza SP Tar'!$C:$C,'Plaza SP Tar'!J:J)</f>
        <v>2968967.0561584793</v>
      </c>
      <c r="P422" s="1">
        <v>45000</v>
      </c>
      <c r="Q422" s="1">
        <f>_xlfn.XLOOKUP($C422,'Plaza SP Tar'!$C:$C,'Plaza SP Tar'!K:K)</f>
        <v>3181036.1315983706</v>
      </c>
      <c r="R422">
        <v>50000</v>
      </c>
    </row>
    <row r="423" spans="1:18" x14ac:dyDescent="0.25">
      <c r="A423" t="s">
        <v>451</v>
      </c>
      <c r="B423" t="s">
        <v>452</v>
      </c>
      <c r="C423" t="s">
        <v>460</v>
      </c>
      <c r="D423" s="1">
        <v>3342127</v>
      </c>
      <c r="E423" s="1">
        <f>_xlfn.XLOOKUP($C423,'Plaza SP Tar'!$C:$C,'Plaza SP Tar'!E:E)</f>
        <v>3648038.5884182979</v>
      </c>
      <c r="F423" s="1">
        <v>10000</v>
      </c>
      <c r="G423" s="1">
        <f>_xlfn.XLOOKUP($C423,'Plaza SP Tar'!$C:$C,'Plaza SP Tar'!F:F)</f>
        <v>4169186.9581923406</v>
      </c>
      <c r="H423" s="1">
        <v>18000</v>
      </c>
      <c r="I423" s="1">
        <f>_xlfn.XLOOKUP($C423,'Plaza SP Tar'!$C:$C,'Plaza SP Tar'!G:G)</f>
        <v>4586105.6540115746</v>
      </c>
      <c r="J423" s="1">
        <v>25000</v>
      </c>
      <c r="K423" s="1">
        <f>_xlfn.XLOOKUP($C423,'Plaza SP Tar'!$C:$C,'Plaza SP Tar'!H:H)</f>
        <v>5003024.3498308081</v>
      </c>
      <c r="L423" s="1">
        <v>30000</v>
      </c>
      <c r="M423" s="1">
        <f>_xlfn.XLOOKUP($C423,'Plaza SP Tar'!$C:$C,'Plaza SP Tar'!I:I)</f>
        <v>5419943.0456500426</v>
      </c>
      <c r="N423" s="1">
        <v>40000</v>
      </c>
      <c r="O423" s="1">
        <f>_xlfn.XLOOKUP($C423,'Plaza SP Tar'!$C:$C,'Plaza SP Tar'!J:J)</f>
        <v>5836861.7414692761</v>
      </c>
      <c r="P423" s="1">
        <v>45000</v>
      </c>
      <c r="Q423" s="1">
        <f>_xlfn.XLOOKUP($C423,'Plaza SP Tar'!$C:$C,'Plaza SP Tar'!K:K)</f>
        <v>6253780.4372885106</v>
      </c>
      <c r="R423">
        <v>50000</v>
      </c>
    </row>
    <row r="424" spans="1:18" x14ac:dyDescent="0.25">
      <c r="A424" t="s">
        <v>451</v>
      </c>
      <c r="B424" t="s">
        <v>452</v>
      </c>
      <c r="C424" t="s">
        <v>461</v>
      </c>
      <c r="D424" s="1">
        <v>1700000</v>
      </c>
      <c r="E424" s="1">
        <f>_xlfn.XLOOKUP($C424,'Plaza SP Tar'!$C:$C,'Plaza SP Tar'!E:E)</f>
        <v>1855604.4100990498</v>
      </c>
      <c r="F424" s="1">
        <v>10000</v>
      </c>
      <c r="G424" s="1">
        <f>_xlfn.XLOOKUP($C424,'Plaza SP Tar'!$C:$C,'Plaza SP Tar'!F:F)</f>
        <v>2120690.7543989141</v>
      </c>
      <c r="H424" s="1">
        <v>18000</v>
      </c>
      <c r="I424" s="1">
        <f>_xlfn.XLOOKUP($C424,'Plaza SP Tar'!$C:$C,'Plaza SP Tar'!G:G)</f>
        <v>2332759.8298388049</v>
      </c>
      <c r="J424" s="1">
        <v>25000</v>
      </c>
      <c r="K424" s="1">
        <f>_xlfn.XLOOKUP($C424,'Plaza SP Tar'!$C:$C,'Plaza SP Tar'!H:H)</f>
        <v>2544828.9052786967</v>
      </c>
      <c r="L424" s="1">
        <v>30000</v>
      </c>
      <c r="M424" s="1">
        <f>_xlfn.XLOOKUP($C424,'Plaza SP Tar'!$C:$C,'Plaza SP Tar'!I:I)</f>
        <v>2756897.980718588</v>
      </c>
      <c r="N424" s="1">
        <v>40000</v>
      </c>
      <c r="O424" s="1">
        <f>_xlfn.XLOOKUP($C424,'Plaza SP Tar'!$C:$C,'Plaza SP Tar'!J:J)</f>
        <v>2968967.0561584793</v>
      </c>
      <c r="P424" s="1">
        <v>45000</v>
      </c>
      <c r="Q424" s="1">
        <f>_xlfn.XLOOKUP($C424,'Plaza SP Tar'!$C:$C,'Plaza SP Tar'!K:K)</f>
        <v>3181036.1315983706</v>
      </c>
      <c r="R424">
        <v>50000</v>
      </c>
    </row>
    <row r="425" spans="1:18" x14ac:dyDescent="0.25">
      <c r="A425" t="s">
        <v>451</v>
      </c>
      <c r="B425" t="s">
        <v>452</v>
      </c>
      <c r="C425" t="s">
        <v>462</v>
      </c>
      <c r="D425" s="1">
        <v>2456605</v>
      </c>
      <c r="E425" s="1">
        <f>_xlfn.XLOOKUP($C425,'Plaza SP Tar'!$C:$C,'Plaza SP Tar'!E:E)</f>
        <v>2681462.9834537506</v>
      </c>
      <c r="F425" s="1">
        <v>10000</v>
      </c>
      <c r="G425" s="1">
        <f>_xlfn.XLOOKUP($C425,'Plaza SP Tar'!$C:$C,'Plaza SP Tar'!F:F)</f>
        <v>3064529.1239471436</v>
      </c>
      <c r="H425" s="1">
        <v>18000</v>
      </c>
      <c r="I425" s="1">
        <f>_xlfn.XLOOKUP($C425,'Plaza SP Tar'!$C:$C,'Plaza SP Tar'!G:G)</f>
        <v>3370982.0363418576</v>
      </c>
      <c r="J425" s="1">
        <v>25000</v>
      </c>
      <c r="K425" s="1">
        <f>_xlfn.XLOOKUP($C425,'Plaza SP Tar'!$C:$C,'Plaza SP Tar'!H:H)</f>
        <v>3677434.9487365722</v>
      </c>
      <c r="L425" s="1">
        <v>30000</v>
      </c>
      <c r="M425" s="1">
        <f>_xlfn.XLOOKUP($C425,'Plaza SP Tar'!$C:$C,'Plaza SP Tar'!I:I)</f>
        <v>3983887.8611312867</v>
      </c>
      <c r="N425" s="1">
        <v>40000</v>
      </c>
      <c r="O425" s="1">
        <f>_xlfn.XLOOKUP($C425,'Plaza SP Tar'!$C:$C,'Plaza SP Tar'!J:J)</f>
        <v>4290340.7735260008</v>
      </c>
      <c r="P425" s="1">
        <v>45000</v>
      </c>
      <c r="Q425" s="1">
        <f>_xlfn.XLOOKUP($C425,'Plaza SP Tar'!$C:$C,'Plaza SP Tar'!K:K)</f>
        <v>4596793.6859207153</v>
      </c>
      <c r="R425">
        <v>50000</v>
      </c>
    </row>
    <row r="426" spans="1:18" x14ac:dyDescent="0.25">
      <c r="A426" t="s">
        <v>451</v>
      </c>
      <c r="B426" t="s">
        <v>452</v>
      </c>
      <c r="C426" t="s">
        <v>463</v>
      </c>
      <c r="D426" s="1">
        <v>1700000</v>
      </c>
      <c r="E426" s="1">
        <f>_xlfn.XLOOKUP($C426,'Plaza SP Tar'!$C:$C,'Plaza SP Tar'!E:E)</f>
        <v>1855604.4100990498</v>
      </c>
      <c r="F426" s="1">
        <v>10000</v>
      </c>
      <c r="G426" s="1">
        <f>_xlfn.XLOOKUP($C426,'Plaza SP Tar'!$C:$C,'Plaza SP Tar'!F:F)</f>
        <v>2120690.7543989141</v>
      </c>
      <c r="H426" s="1">
        <v>18000</v>
      </c>
      <c r="I426" s="1">
        <f>_xlfn.XLOOKUP($C426,'Plaza SP Tar'!$C:$C,'Plaza SP Tar'!G:G)</f>
        <v>2332759.8298388049</v>
      </c>
      <c r="J426" s="1">
        <v>25000</v>
      </c>
      <c r="K426" s="1">
        <f>_xlfn.XLOOKUP($C426,'Plaza SP Tar'!$C:$C,'Plaza SP Tar'!H:H)</f>
        <v>2544828.9052786967</v>
      </c>
      <c r="L426" s="1">
        <v>30000</v>
      </c>
      <c r="M426" s="1">
        <f>_xlfn.XLOOKUP($C426,'Plaza SP Tar'!$C:$C,'Plaza SP Tar'!I:I)</f>
        <v>2756897.980718588</v>
      </c>
      <c r="N426" s="1">
        <v>40000</v>
      </c>
      <c r="O426" s="1">
        <f>_xlfn.XLOOKUP($C426,'Plaza SP Tar'!$C:$C,'Plaza SP Tar'!J:J)</f>
        <v>2968967.0561584793</v>
      </c>
      <c r="P426" s="1">
        <v>45000</v>
      </c>
      <c r="Q426" s="1">
        <f>_xlfn.XLOOKUP($C426,'Plaza SP Tar'!$C:$C,'Plaza SP Tar'!K:K)</f>
        <v>3181036.1315983706</v>
      </c>
      <c r="R426">
        <v>50000</v>
      </c>
    </row>
    <row r="427" spans="1:18" x14ac:dyDescent="0.25">
      <c r="A427" t="s">
        <v>451</v>
      </c>
      <c r="B427" t="s">
        <v>452</v>
      </c>
      <c r="C427" t="s">
        <v>464</v>
      </c>
      <c r="D427" s="1">
        <v>6148711</v>
      </c>
      <c r="E427" s="1">
        <f>_xlfn.XLOOKUP($C427,'Plaza SP Tar'!$C:$C,'Plaza SP Tar'!E:E)</f>
        <v>6711514.8517791405</v>
      </c>
      <c r="F427" s="1">
        <v>10000</v>
      </c>
      <c r="G427" s="1">
        <f>_xlfn.XLOOKUP($C427,'Plaza SP Tar'!$C:$C,'Plaza SP Tar'!F:F)</f>
        <v>7670302.6877475884</v>
      </c>
      <c r="H427" s="1">
        <v>18000</v>
      </c>
      <c r="I427" s="1">
        <f>_xlfn.XLOOKUP($C427,'Plaza SP Tar'!$C:$C,'Plaza SP Tar'!G:G)</f>
        <v>8437332.9565223455</v>
      </c>
      <c r="J427" s="1">
        <v>25000</v>
      </c>
      <c r="K427" s="1">
        <f>_xlfn.XLOOKUP($C427,'Plaza SP Tar'!$C:$C,'Plaza SP Tar'!H:H)</f>
        <v>9204363.2252971064</v>
      </c>
      <c r="L427" s="1">
        <v>30000</v>
      </c>
      <c r="M427" s="1">
        <f>_xlfn.XLOOKUP($C427,'Plaza SP Tar'!$C:$C,'Plaza SP Tar'!I:I)</f>
        <v>9971393.4940718655</v>
      </c>
      <c r="N427" s="1">
        <v>40000</v>
      </c>
      <c r="O427" s="1">
        <f>_xlfn.XLOOKUP($C427,'Plaza SP Tar'!$C:$C,'Plaza SP Tar'!J:J)</f>
        <v>10738423.762846623</v>
      </c>
      <c r="P427" s="1">
        <v>45000</v>
      </c>
      <c r="Q427" s="1">
        <f>_xlfn.XLOOKUP($C427,'Plaza SP Tar'!$C:$C,'Plaza SP Tar'!K:K)</f>
        <v>11505454.031621382</v>
      </c>
      <c r="R427">
        <v>50000</v>
      </c>
    </row>
    <row r="428" spans="1:18" x14ac:dyDescent="0.25">
      <c r="A428" t="s">
        <v>451</v>
      </c>
      <c r="B428" t="s">
        <v>452</v>
      </c>
      <c r="C428" t="s">
        <v>465</v>
      </c>
      <c r="D428" s="1">
        <v>1700000</v>
      </c>
      <c r="E428" s="1">
        <f>_xlfn.XLOOKUP($C428,'Plaza SP Tar'!$C:$C,'Plaza SP Tar'!E:E)</f>
        <v>1855604.4100990498</v>
      </c>
      <c r="F428" s="1">
        <v>10000</v>
      </c>
      <c r="G428" s="1">
        <f>_xlfn.XLOOKUP($C428,'Plaza SP Tar'!$C:$C,'Plaza SP Tar'!F:F)</f>
        <v>2120690.7543989141</v>
      </c>
      <c r="H428" s="1">
        <v>18000</v>
      </c>
      <c r="I428" s="1">
        <f>_xlfn.XLOOKUP($C428,'Plaza SP Tar'!$C:$C,'Plaza SP Tar'!G:G)</f>
        <v>2332759.8298388049</v>
      </c>
      <c r="J428" s="1">
        <v>25000</v>
      </c>
      <c r="K428" s="1">
        <f>_xlfn.XLOOKUP($C428,'Plaza SP Tar'!$C:$C,'Plaza SP Tar'!H:H)</f>
        <v>2544828.9052786967</v>
      </c>
      <c r="L428" s="1">
        <v>30000</v>
      </c>
      <c r="M428" s="1">
        <f>_xlfn.XLOOKUP($C428,'Plaza SP Tar'!$C:$C,'Plaza SP Tar'!I:I)</f>
        <v>2756897.980718588</v>
      </c>
      <c r="N428" s="1">
        <v>40000</v>
      </c>
      <c r="O428" s="1">
        <f>_xlfn.XLOOKUP($C428,'Plaza SP Tar'!$C:$C,'Plaza SP Tar'!J:J)</f>
        <v>2968967.0561584793</v>
      </c>
      <c r="P428" s="1">
        <v>45000</v>
      </c>
      <c r="Q428" s="1">
        <f>_xlfn.XLOOKUP($C428,'Plaza SP Tar'!$C:$C,'Plaza SP Tar'!K:K)</f>
        <v>3181036.1315983706</v>
      </c>
      <c r="R428">
        <v>50000</v>
      </c>
    </row>
    <row r="429" spans="1:18" x14ac:dyDescent="0.25">
      <c r="A429" t="s">
        <v>451</v>
      </c>
      <c r="B429" t="s">
        <v>452</v>
      </c>
      <c r="C429" t="s">
        <v>466</v>
      </c>
      <c r="D429" s="1">
        <v>1700000</v>
      </c>
      <c r="E429" s="1">
        <f>_xlfn.XLOOKUP($C429,'Plaza SP Tar'!$C:$C,'Plaza SP Tar'!E:E)</f>
        <v>1855604.4100990498</v>
      </c>
      <c r="F429" s="1">
        <v>10000</v>
      </c>
      <c r="G429" s="1">
        <f>_xlfn.XLOOKUP($C429,'Plaza SP Tar'!$C:$C,'Plaza SP Tar'!F:F)</f>
        <v>2120690.7543989141</v>
      </c>
      <c r="H429" s="1">
        <v>18000</v>
      </c>
      <c r="I429" s="1">
        <f>_xlfn.XLOOKUP($C429,'Plaza SP Tar'!$C:$C,'Plaza SP Tar'!G:G)</f>
        <v>2332759.8298388049</v>
      </c>
      <c r="J429" s="1">
        <v>25000</v>
      </c>
      <c r="K429" s="1">
        <f>_xlfn.XLOOKUP($C429,'Plaza SP Tar'!$C:$C,'Plaza SP Tar'!H:H)</f>
        <v>2544828.9052786967</v>
      </c>
      <c r="L429" s="1">
        <v>30000</v>
      </c>
      <c r="M429" s="1">
        <f>_xlfn.XLOOKUP($C429,'Plaza SP Tar'!$C:$C,'Plaza SP Tar'!I:I)</f>
        <v>2756897.980718588</v>
      </c>
      <c r="N429" s="1">
        <v>40000</v>
      </c>
      <c r="O429" s="1">
        <f>_xlfn.XLOOKUP($C429,'Plaza SP Tar'!$C:$C,'Plaza SP Tar'!J:J)</f>
        <v>2968967.0561584793</v>
      </c>
      <c r="P429" s="1">
        <v>45000</v>
      </c>
      <c r="Q429" s="1">
        <f>_xlfn.XLOOKUP($C429,'Plaza SP Tar'!$C:$C,'Plaza SP Tar'!K:K)</f>
        <v>3181036.1315983706</v>
      </c>
      <c r="R429">
        <v>50000</v>
      </c>
    </row>
    <row r="430" spans="1:18" x14ac:dyDescent="0.25">
      <c r="A430" t="s">
        <v>451</v>
      </c>
      <c r="B430" t="s">
        <v>467</v>
      </c>
      <c r="C430" t="s">
        <v>468</v>
      </c>
      <c r="D430" s="1">
        <v>5698433</v>
      </c>
      <c r="E430" s="1">
        <f>_xlfn.XLOOKUP($C430,'Plaza SP Tar'!$C:$C,'Plaza SP Tar'!E:E)</f>
        <v>6220022.0032082107</v>
      </c>
      <c r="F430" s="1">
        <v>10000</v>
      </c>
      <c r="G430" s="1">
        <f>_xlfn.XLOOKUP($C430,'Plaza SP Tar'!$C:$C,'Plaza SP Tar'!F:F)</f>
        <v>7108596.5750950975</v>
      </c>
      <c r="H430" s="1">
        <v>18000</v>
      </c>
      <c r="I430" s="1">
        <f>_xlfn.XLOOKUP($C430,'Plaza SP Tar'!$C:$C,'Plaza SP Tar'!G:G)</f>
        <v>7819456.232604607</v>
      </c>
      <c r="J430" s="1">
        <v>25000</v>
      </c>
      <c r="K430" s="1">
        <f>_xlfn.XLOOKUP($C430,'Plaza SP Tar'!$C:$C,'Plaza SP Tar'!H:H)</f>
        <v>8530315.8901141174</v>
      </c>
      <c r="L430" s="1">
        <v>30000</v>
      </c>
      <c r="M430" s="1">
        <f>_xlfn.XLOOKUP($C430,'Plaza SP Tar'!$C:$C,'Plaza SP Tar'!I:I)</f>
        <v>9241175.5476236269</v>
      </c>
      <c r="N430" s="1">
        <v>40000</v>
      </c>
      <c r="O430" s="1">
        <f>_xlfn.XLOOKUP($C430,'Plaza SP Tar'!$C:$C,'Plaza SP Tar'!J:J)</f>
        <v>9952035.2051331364</v>
      </c>
      <c r="P430" s="1">
        <v>45000</v>
      </c>
      <c r="Q430" s="1">
        <f>_xlfn.XLOOKUP($C430,'Plaza SP Tar'!$C:$C,'Plaza SP Tar'!K:K)</f>
        <v>10662894.862642646</v>
      </c>
      <c r="R430">
        <v>50000</v>
      </c>
    </row>
    <row r="431" spans="1:18" x14ac:dyDescent="0.25">
      <c r="A431" t="s">
        <v>451</v>
      </c>
      <c r="B431" t="s">
        <v>467</v>
      </c>
      <c r="C431" t="s">
        <v>469</v>
      </c>
      <c r="D431" s="1">
        <v>4527569</v>
      </c>
      <c r="E431" s="1">
        <f>_xlfn.XLOOKUP($C431,'Plaza SP Tar'!$C:$C,'Plaza SP Tar'!E:E)</f>
        <v>4941986.472604556</v>
      </c>
      <c r="F431" s="1">
        <v>10000</v>
      </c>
      <c r="G431" s="1">
        <f>_xlfn.XLOOKUP($C431,'Plaza SP Tar'!$C:$C,'Plaza SP Tar'!F:F)</f>
        <v>5647984.5401194924</v>
      </c>
      <c r="H431" s="1">
        <v>18000</v>
      </c>
      <c r="I431" s="1">
        <f>_xlfn.XLOOKUP($C431,'Plaza SP Tar'!$C:$C,'Plaza SP Tar'!G:G)</f>
        <v>6212782.9941314403</v>
      </c>
      <c r="J431" s="1">
        <v>25000</v>
      </c>
      <c r="K431" s="1">
        <f>_xlfn.XLOOKUP($C431,'Plaza SP Tar'!$C:$C,'Plaza SP Tar'!H:H)</f>
        <v>6777581.44814339</v>
      </c>
      <c r="L431" s="1">
        <v>30000</v>
      </c>
      <c r="M431" s="1">
        <f>_xlfn.XLOOKUP($C431,'Plaza SP Tar'!$C:$C,'Plaza SP Tar'!I:I)</f>
        <v>7342379.9021553397</v>
      </c>
      <c r="N431" s="1">
        <v>40000</v>
      </c>
      <c r="O431" s="1">
        <f>_xlfn.XLOOKUP($C431,'Plaza SP Tar'!$C:$C,'Plaza SP Tar'!J:J)</f>
        <v>7907178.3561672876</v>
      </c>
      <c r="P431" s="1">
        <v>45000</v>
      </c>
      <c r="Q431" s="1">
        <f>_xlfn.XLOOKUP($C431,'Plaza SP Tar'!$C:$C,'Plaza SP Tar'!K:K)</f>
        <v>8471976.8101792373</v>
      </c>
      <c r="R431">
        <v>50000</v>
      </c>
    </row>
    <row r="432" spans="1:18" x14ac:dyDescent="0.25">
      <c r="A432" t="s">
        <v>451</v>
      </c>
      <c r="B432" t="s">
        <v>467</v>
      </c>
      <c r="C432" t="s">
        <v>470</v>
      </c>
      <c r="D432" s="1">
        <v>6887928</v>
      </c>
      <c r="E432" s="1">
        <f>_xlfn.XLOOKUP($C432,'Plaza SP Tar'!$C:$C,'Plaza SP Tar'!E:E)</f>
        <v>7518393.8666145457</v>
      </c>
      <c r="F432" s="1">
        <v>10000</v>
      </c>
      <c r="G432" s="1">
        <f>_xlfn.XLOOKUP($C432,'Plaza SP Tar'!$C:$C,'Plaza SP Tar'!F:F)</f>
        <v>8592450.1332737654</v>
      </c>
      <c r="H432" s="1">
        <v>18000</v>
      </c>
      <c r="I432" s="1">
        <f>_xlfn.XLOOKUP($C432,'Plaza SP Tar'!$C:$C,'Plaza SP Tar'!G:G)</f>
        <v>9451695.1466011424</v>
      </c>
      <c r="J432" s="1">
        <v>25000</v>
      </c>
      <c r="K432" s="1">
        <f>_xlfn.XLOOKUP($C432,'Plaza SP Tar'!$C:$C,'Plaza SP Tar'!H:H)</f>
        <v>10310940.159928519</v>
      </c>
      <c r="L432" s="1">
        <v>30000</v>
      </c>
      <c r="M432" s="1">
        <f>_xlfn.XLOOKUP($C432,'Plaza SP Tar'!$C:$C,'Plaza SP Tar'!I:I)</f>
        <v>11170185.173255896</v>
      </c>
      <c r="N432" s="1">
        <v>40000</v>
      </c>
      <c r="O432" s="1">
        <f>_xlfn.XLOOKUP($C432,'Plaza SP Tar'!$C:$C,'Plaza SP Tar'!J:J)</f>
        <v>12029430.186583271</v>
      </c>
      <c r="P432" s="1">
        <v>45000</v>
      </c>
      <c r="Q432" s="1">
        <f>_xlfn.XLOOKUP($C432,'Plaza SP Tar'!$C:$C,'Plaza SP Tar'!K:K)</f>
        <v>12888675.199910648</v>
      </c>
      <c r="R432">
        <v>50000</v>
      </c>
    </row>
    <row r="433" spans="1:18" x14ac:dyDescent="0.25">
      <c r="A433" t="s">
        <v>451</v>
      </c>
      <c r="B433" t="s">
        <v>467</v>
      </c>
      <c r="C433" t="s">
        <v>471</v>
      </c>
      <c r="D433" s="1">
        <v>8901221</v>
      </c>
      <c r="E433" s="1">
        <f>_xlfn.XLOOKUP($C433,'Plaza SP Tar'!$C:$C,'Plaza SP Tar'!E:E)</f>
        <v>9715967.6134507488</v>
      </c>
      <c r="F433" s="1">
        <v>10000</v>
      </c>
      <c r="G433" s="1">
        <f>_xlfn.XLOOKUP($C433,'Plaza SP Tar'!$C:$C,'Plaza SP Tar'!F:F)</f>
        <v>11103962.986800857</v>
      </c>
      <c r="H433" s="1">
        <v>18000</v>
      </c>
      <c r="I433" s="1">
        <f>_xlfn.XLOOKUP($C433,'Plaza SP Tar'!$C:$C,'Plaza SP Tar'!G:G)</f>
        <v>12214359.285480941</v>
      </c>
      <c r="J433" s="1">
        <v>25000</v>
      </c>
      <c r="K433" s="1">
        <f>_xlfn.XLOOKUP($C433,'Plaza SP Tar'!$C:$C,'Plaza SP Tar'!H:H)</f>
        <v>13324755.584161026</v>
      </c>
      <c r="L433" s="1">
        <v>30000</v>
      </c>
      <c r="M433" s="1">
        <f>_xlfn.XLOOKUP($C433,'Plaza SP Tar'!$C:$C,'Plaza SP Tar'!I:I)</f>
        <v>14435151.882841112</v>
      </c>
      <c r="N433" s="1">
        <v>40000</v>
      </c>
      <c r="O433" s="1">
        <f>_xlfn.XLOOKUP($C433,'Plaza SP Tar'!$C:$C,'Plaza SP Tar'!J:J)</f>
        <v>15545548.181521196</v>
      </c>
      <c r="P433" s="1">
        <v>45000</v>
      </c>
      <c r="Q433" s="1">
        <f>_xlfn.XLOOKUP($C433,'Plaza SP Tar'!$C:$C,'Plaza SP Tar'!K:K)</f>
        <v>16655944.480201283</v>
      </c>
      <c r="R433">
        <v>50000</v>
      </c>
    </row>
    <row r="434" spans="1:18" x14ac:dyDescent="0.25">
      <c r="A434" t="s">
        <v>451</v>
      </c>
      <c r="B434" t="s">
        <v>467</v>
      </c>
      <c r="C434" t="s">
        <v>472</v>
      </c>
      <c r="D434" s="1">
        <v>5387207</v>
      </c>
      <c r="E434" s="1">
        <f>_xlfn.XLOOKUP($C434,'Plaza SP Tar'!$C:$C,'Plaza SP Tar'!E:E)</f>
        <v>5880308.8631273359</v>
      </c>
      <c r="F434" s="1">
        <v>10000</v>
      </c>
      <c r="G434" s="1">
        <f>_xlfn.XLOOKUP($C434,'Plaza SP Tar'!$C:$C,'Plaza SP Tar'!F:F)</f>
        <v>6720352.986431241</v>
      </c>
      <c r="H434" s="1">
        <v>18000</v>
      </c>
      <c r="I434" s="1">
        <f>_xlfn.XLOOKUP($C434,'Plaza SP Tar'!$C:$C,'Plaza SP Tar'!G:G)</f>
        <v>7392388.2850743644</v>
      </c>
      <c r="J434" s="1">
        <v>25000</v>
      </c>
      <c r="K434" s="1">
        <f>_xlfn.XLOOKUP($C434,'Plaza SP Tar'!$C:$C,'Plaza SP Tar'!H:H)</f>
        <v>8064423.5837174887</v>
      </c>
      <c r="L434" s="1">
        <v>30000</v>
      </c>
      <c r="M434" s="1">
        <f>_xlfn.XLOOKUP($C434,'Plaza SP Tar'!$C:$C,'Plaza SP Tar'!I:I)</f>
        <v>8736458.882360613</v>
      </c>
      <c r="N434" s="1">
        <v>40000</v>
      </c>
      <c r="O434" s="1">
        <f>_xlfn.XLOOKUP($C434,'Plaza SP Tar'!$C:$C,'Plaza SP Tar'!J:J)</f>
        <v>9408494.1810037363</v>
      </c>
      <c r="P434" s="1">
        <v>45000</v>
      </c>
      <c r="Q434" s="1">
        <f>_xlfn.XLOOKUP($C434,'Plaza SP Tar'!$C:$C,'Plaza SP Tar'!K:K)</f>
        <v>10080529.479646862</v>
      </c>
      <c r="R434">
        <v>50000</v>
      </c>
    </row>
    <row r="435" spans="1:18" x14ac:dyDescent="0.25">
      <c r="A435" t="s">
        <v>451</v>
      </c>
      <c r="B435" t="s">
        <v>467</v>
      </c>
      <c r="C435" t="s">
        <v>473</v>
      </c>
      <c r="D435" s="1">
        <v>2401744</v>
      </c>
      <c r="E435" s="1">
        <f>_xlfn.XLOOKUP($C435,'Plaza SP Tar'!$C:$C,'Plaza SP Tar'!E:E)</f>
        <v>2621580.4460758423</v>
      </c>
      <c r="F435" s="1">
        <v>10000</v>
      </c>
      <c r="G435" s="1">
        <f>_xlfn.XLOOKUP($C435,'Plaza SP Tar'!$C:$C,'Plaza SP Tar'!F:F)</f>
        <v>2996091.9383723913</v>
      </c>
      <c r="H435" s="1">
        <v>18000</v>
      </c>
      <c r="I435" s="1">
        <f>_xlfn.XLOOKUP($C435,'Plaza SP Tar'!$C:$C,'Plaza SP Tar'!G:G)</f>
        <v>3295701.1322096302</v>
      </c>
      <c r="J435" s="1">
        <v>25000</v>
      </c>
      <c r="K435" s="1">
        <f>_xlfn.XLOOKUP($C435,'Plaza SP Tar'!$C:$C,'Plaza SP Tar'!H:H)</f>
        <v>3595310.3260468692</v>
      </c>
      <c r="L435" s="1">
        <v>30000</v>
      </c>
      <c r="M435" s="1">
        <f>_xlfn.XLOOKUP($C435,'Plaza SP Tar'!$C:$C,'Plaza SP Tar'!I:I)</f>
        <v>3894919.5198841086</v>
      </c>
      <c r="N435" s="1">
        <v>40000</v>
      </c>
      <c r="O435" s="1">
        <f>_xlfn.XLOOKUP($C435,'Plaza SP Tar'!$C:$C,'Plaza SP Tar'!J:J)</f>
        <v>4194528.713721347</v>
      </c>
      <c r="P435" s="1">
        <v>45000</v>
      </c>
      <c r="Q435" s="1">
        <f>_xlfn.XLOOKUP($C435,'Plaza SP Tar'!$C:$C,'Plaza SP Tar'!K:K)</f>
        <v>4494137.9075585864</v>
      </c>
      <c r="R435">
        <v>50000</v>
      </c>
    </row>
    <row r="436" spans="1:18" x14ac:dyDescent="0.25">
      <c r="A436" t="s">
        <v>451</v>
      </c>
      <c r="B436" t="s">
        <v>467</v>
      </c>
      <c r="C436" t="s">
        <v>474</v>
      </c>
      <c r="D436" s="1">
        <v>5055172</v>
      </c>
      <c r="E436" s="1">
        <f>_xlfn.XLOOKUP($C436,'Plaza SP Tar'!$C:$C,'Plaza SP Tar'!E:E)</f>
        <v>5517882.0335348435</v>
      </c>
      <c r="F436" s="1">
        <v>10000</v>
      </c>
      <c r="G436" s="1">
        <f>_xlfn.XLOOKUP($C436,'Plaza SP Tar'!$C:$C,'Plaza SP Tar'!F:F)</f>
        <v>6306150.8954683924</v>
      </c>
      <c r="H436" s="1">
        <v>18000</v>
      </c>
      <c r="I436" s="1">
        <f>_xlfn.XLOOKUP($C436,'Plaza SP Tar'!$C:$C,'Plaza SP Tar'!G:G)</f>
        <v>6936765.9850152303</v>
      </c>
      <c r="J436" s="1">
        <v>25000</v>
      </c>
      <c r="K436" s="1">
        <f>_xlfn.XLOOKUP($C436,'Plaza SP Tar'!$C:$C,'Plaza SP Tar'!H:H)</f>
        <v>7567381.07456207</v>
      </c>
      <c r="L436" s="1">
        <v>30000</v>
      </c>
      <c r="M436" s="1">
        <f>_xlfn.XLOOKUP($C436,'Plaza SP Tar'!$C:$C,'Plaza SP Tar'!I:I)</f>
        <v>8197996.1641089097</v>
      </c>
      <c r="N436" s="1">
        <v>40000</v>
      </c>
      <c r="O436" s="1">
        <f>_xlfn.XLOOKUP($C436,'Plaza SP Tar'!$C:$C,'Plaza SP Tar'!J:J)</f>
        <v>8828611.2536557484</v>
      </c>
      <c r="P436" s="1">
        <v>45000</v>
      </c>
      <c r="Q436" s="1">
        <f>_xlfn.XLOOKUP($C436,'Plaza SP Tar'!$C:$C,'Plaza SP Tar'!K:K)</f>
        <v>9459226.3432025872</v>
      </c>
      <c r="R436">
        <v>50000</v>
      </c>
    </row>
    <row r="437" spans="1:18" x14ac:dyDescent="0.25">
      <c r="A437" t="s">
        <v>451</v>
      </c>
      <c r="B437" t="s">
        <v>467</v>
      </c>
      <c r="C437" t="s">
        <v>475</v>
      </c>
      <c r="D437" s="1">
        <v>2103578</v>
      </c>
      <c r="E437" s="1">
        <f>_xlfn.XLOOKUP($C437,'Plaza SP Tar'!$C:$C,'Plaza SP Tar'!E:E)</f>
        <v>2296122.7139925524</v>
      </c>
      <c r="F437" s="1">
        <v>10000</v>
      </c>
      <c r="G437" s="1">
        <f>_xlfn.XLOOKUP($C437,'Plaza SP Tar'!$C:$C,'Plaza SP Tar'!F:F)</f>
        <v>2624140.2445629169</v>
      </c>
      <c r="H437" s="1">
        <v>18000</v>
      </c>
      <c r="I437" s="1">
        <f>_xlfn.XLOOKUP($C437,'Plaza SP Tar'!$C:$C,'Plaza SP Tar'!G:G)</f>
        <v>2886554.2690192084</v>
      </c>
      <c r="J437" s="1">
        <v>25000</v>
      </c>
      <c r="K437" s="1">
        <f>_xlfn.XLOOKUP($C437,'Plaza SP Tar'!$C:$C,'Plaza SP Tar'!H:H)</f>
        <v>3148968.2934754998</v>
      </c>
      <c r="L437" s="1">
        <v>30000</v>
      </c>
      <c r="M437" s="1">
        <f>_xlfn.XLOOKUP($C437,'Plaza SP Tar'!$C:$C,'Plaza SP Tar'!I:I)</f>
        <v>3411382.3179317918</v>
      </c>
      <c r="N437" s="1">
        <v>40000</v>
      </c>
      <c r="O437" s="1">
        <f>_xlfn.XLOOKUP($C437,'Plaza SP Tar'!$C:$C,'Plaza SP Tar'!J:J)</f>
        <v>3673796.3423880832</v>
      </c>
      <c r="P437" s="1">
        <v>45000</v>
      </c>
      <c r="Q437" s="1">
        <f>_xlfn.XLOOKUP($C437,'Plaza SP Tar'!$C:$C,'Plaza SP Tar'!K:K)</f>
        <v>3936210.3668443752</v>
      </c>
      <c r="R437">
        <v>50000</v>
      </c>
    </row>
    <row r="438" spans="1:18" x14ac:dyDescent="0.25">
      <c r="A438" t="s">
        <v>451</v>
      </c>
      <c r="B438" t="s">
        <v>467</v>
      </c>
      <c r="C438" t="s">
        <v>476</v>
      </c>
      <c r="D438" s="1">
        <v>4529427</v>
      </c>
      <c r="E438" s="1">
        <f>_xlfn.XLOOKUP($C438,'Plaza SP Tar'!$C:$C,'Plaza SP Tar'!E:E)</f>
        <v>4944014.5390715934</v>
      </c>
      <c r="F438" s="1">
        <v>10000</v>
      </c>
      <c r="G438" s="1">
        <f>_xlfn.XLOOKUP($C438,'Plaza SP Tar'!$C:$C,'Plaza SP Tar'!F:F)</f>
        <v>5650302.3303675354</v>
      </c>
      <c r="H438" s="1">
        <v>18000</v>
      </c>
      <c r="I438" s="1">
        <f>_xlfn.XLOOKUP($C438,'Plaza SP Tar'!$C:$C,'Plaza SP Tar'!G:G)</f>
        <v>6215332.5634042881</v>
      </c>
      <c r="J438" s="1">
        <v>25000</v>
      </c>
      <c r="K438" s="1">
        <f>_xlfn.XLOOKUP($C438,'Plaza SP Tar'!$C:$C,'Plaza SP Tar'!H:H)</f>
        <v>6780362.7964410419</v>
      </c>
      <c r="L438" s="1">
        <v>30000</v>
      </c>
      <c r="M438" s="1">
        <f>_xlfn.XLOOKUP($C438,'Plaza SP Tar'!$C:$C,'Plaza SP Tar'!I:I)</f>
        <v>7345393.0294777956</v>
      </c>
      <c r="N438" s="1">
        <v>40000</v>
      </c>
      <c r="O438" s="1">
        <f>_xlfn.XLOOKUP($C438,'Plaza SP Tar'!$C:$C,'Plaza SP Tar'!J:J)</f>
        <v>7910423.2625145484</v>
      </c>
      <c r="P438" s="1">
        <v>45000</v>
      </c>
      <c r="Q438" s="1">
        <f>_xlfn.XLOOKUP($C438,'Plaza SP Tar'!$C:$C,'Plaza SP Tar'!K:K)</f>
        <v>8475453.4955513012</v>
      </c>
      <c r="R438">
        <v>50000</v>
      </c>
    </row>
    <row r="439" spans="1:18" x14ac:dyDescent="0.25">
      <c r="A439" t="s">
        <v>451</v>
      </c>
      <c r="B439" t="s">
        <v>467</v>
      </c>
      <c r="C439" t="s">
        <v>477</v>
      </c>
      <c r="D439" s="1">
        <v>1700000</v>
      </c>
      <c r="E439" s="1">
        <f>_xlfn.XLOOKUP($C439,'Plaza SP Tar'!$C:$C,'Plaza SP Tar'!E:E)</f>
        <v>1855604.4100990498</v>
      </c>
      <c r="F439" s="1">
        <v>10000</v>
      </c>
      <c r="G439" s="1">
        <f>_xlfn.XLOOKUP($C439,'Plaza SP Tar'!$C:$C,'Plaza SP Tar'!F:F)</f>
        <v>2120690.7543989141</v>
      </c>
      <c r="H439" s="1">
        <v>18000</v>
      </c>
      <c r="I439" s="1">
        <f>_xlfn.XLOOKUP($C439,'Plaza SP Tar'!$C:$C,'Plaza SP Tar'!G:G)</f>
        <v>2332759.8298388049</v>
      </c>
      <c r="J439" s="1">
        <v>25000</v>
      </c>
      <c r="K439" s="1">
        <f>_xlfn.XLOOKUP($C439,'Plaza SP Tar'!$C:$C,'Plaza SP Tar'!H:H)</f>
        <v>2544828.9052786967</v>
      </c>
      <c r="L439" s="1">
        <v>30000</v>
      </c>
      <c r="M439" s="1">
        <f>_xlfn.XLOOKUP($C439,'Plaza SP Tar'!$C:$C,'Plaza SP Tar'!I:I)</f>
        <v>2756897.980718588</v>
      </c>
      <c r="N439" s="1">
        <v>40000</v>
      </c>
      <c r="O439" s="1">
        <f>_xlfn.XLOOKUP($C439,'Plaza SP Tar'!$C:$C,'Plaza SP Tar'!J:J)</f>
        <v>2968967.0561584793</v>
      </c>
      <c r="P439" s="1">
        <v>45000</v>
      </c>
      <c r="Q439" s="1">
        <f>_xlfn.XLOOKUP($C439,'Plaza SP Tar'!$C:$C,'Plaza SP Tar'!K:K)</f>
        <v>3181036.1315983706</v>
      </c>
      <c r="R439">
        <v>50000</v>
      </c>
    </row>
    <row r="440" spans="1:18" x14ac:dyDescent="0.25">
      <c r="A440" t="s">
        <v>451</v>
      </c>
      <c r="B440" t="s">
        <v>467</v>
      </c>
      <c r="C440" t="s">
        <v>478</v>
      </c>
      <c r="D440" s="1">
        <v>3957223</v>
      </c>
      <c r="E440" s="1">
        <f>_xlfn.XLOOKUP($C440,'Plaza SP Tar'!$C:$C,'Plaza SP Tar'!E:E)</f>
        <v>4319435.5591443479</v>
      </c>
      <c r="F440" s="1">
        <v>10000</v>
      </c>
      <c r="G440" s="1">
        <f>_xlfn.XLOOKUP($C440,'Plaza SP Tar'!$C:$C,'Plaza SP Tar'!F:F)</f>
        <v>4936497.7818792546</v>
      </c>
      <c r="H440" s="1">
        <v>18000</v>
      </c>
      <c r="I440" s="1">
        <f>_xlfn.XLOOKUP($C440,'Plaza SP Tar'!$C:$C,'Plaza SP Tar'!G:G)</f>
        <v>5430147.5600671796</v>
      </c>
      <c r="J440" s="1">
        <v>25000</v>
      </c>
      <c r="K440" s="1">
        <f>_xlfn.XLOOKUP($C440,'Plaza SP Tar'!$C:$C,'Plaza SP Tar'!H:H)</f>
        <v>5923797.3382551055</v>
      </c>
      <c r="L440" s="1">
        <v>30000</v>
      </c>
      <c r="M440" s="1">
        <f>_xlfn.XLOOKUP($C440,'Plaza SP Tar'!$C:$C,'Plaza SP Tar'!I:I)</f>
        <v>6417447.1164430315</v>
      </c>
      <c r="N440" s="1">
        <v>40000</v>
      </c>
      <c r="O440" s="1">
        <f>_xlfn.XLOOKUP($C440,'Plaza SP Tar'!$C:$C,'Plaza SP Tar'!J:J)</f>
        <v>6911096.8946309565</v>
      </c>
      <c r="P440" s="1">
        <v>45000</v>
      </c>
      <c r="Q440" s="1">
        <f>_xlfn.XLOOKUP($C440,'Plaza SP Tar'!$C:$C,'Plaza SP Tar'!K:K)</f>
        <v>7404746.6728188824</v>
      </c>
      <c r="R440">
        <v>50000</v>
      </c>
    </row>
    <row r="441" spans="1:18" x14ac:dyDescent="0.25">
      <c r="A441" t="s">
        <v>451</v>
      </c>
      <c r="B441" t="s">
        <v>467</v>
      </c>
      <c r="C441" t="s">
        <v>479</v>
      </c>
      <c r="D441" s="1">
        <v>2663205</v>
      </c>
      <c r="E441" s="1">
        <f>_xlfn.XLOOKUP($C441,'Plaza SP Tar'!$C:$C,'Plaza SP Tar'!E:E)</f>
        <v>2906973.495881082</v>
      </c>
      <c r="F441" s="1">
        <v>10000</v>
      </c>
      <c r="G441" s="1">
        <f>_xlfn.XLOOKUP($C441,'Plaza SP Tar'!$C:$C,'Plaza SP Tar'!F:F)</f>
        <v>3322255.4238640941</v>
      </c>
      <c r="H441" s="1">
        <v>18000</v>
      </c>
      <c r="I441" s="1">
        <f>_xlfn.XLOOKUP($C441,'Plaza SP Tar'!$C:$C,'Plaza SP Tar'!G:G)</f>
        <v>3654480.966250503</v>
      </c>
      <c r="J441" s="1">
        <v>25000</v>
      </c>
      <c r="K441" s="1">
        <f>_xlfn.XLOOKUP($C441,'Plaza SP Tar'!$C:$C,'Plaza SP Tar'!H:H)</f>
        <v>3986706.5086369123</v>
      </c>
      <c r="L441" s="1">
        <v>30000</v>
      </c>
      <c r="M441" s="1">
        <f>_xlfn.XLOOKUP($C441,'Plaza SP Tar'!$C:$C,'Plaza SP Tar'!I:I)</f>
        <v>4318932.0510233222</v>
      </c>
      <c r="N441" s="1">
        <v>40000</v>
      </c>
      <c r="O441" s="1">
        <f>_xlfn.XLOOKUP($C441,'Plaza SP Tar'!$C:$C,'Plaza SP Tar'!J:J)</f>
        <v>4651157.5934097311</v>
      </c>
      <c r="P441" s="1">
        <v>45000</v>
      </c>
      <c r="Q441" s="1">
        <f>_xlfn.XLOOKUP($C441,'Plaza SP Tar'!$C:$C,'Plaza SP Tar'!K:K)</f>
        <v>4983383.1357961409</v>
      </c>
      <c r="R441">
        <v>50000</v>
      </c>
    </row>
    <row r="442" spans="1:18" x14ac:dyDescent="0.25">
      <c r="A442" t="s">
        <v>451</v>
      </c>
      <c r="B442" t="s">
        <v>467</v>
      </c>
      <c r="C442" t="s">
        <v>480</v>
      </c>
      <c r="D442" s="1">
        <v>4812583</v>
      </c>
      <c r="E442" s="1">
        <f>_xlfn.XLOOKUP($C442,'Plaza SP Tar'!$C:$C,'Plaza SP Tar'!E:E)</f>
        <v>5253088.3757457146</v>
      </c>
      <c r="F442" s="1">
        <v>10000</v>
      </c>
      <c r="G442" s="1">
        <f>_xlfn.XLOOKUP($C442,'Plaza SP Tar'!$C:$C,'Plaza SP Tar'!F:F)</f>
        <v>6003529.5722808167</v>
      </c>
      <c r="H442" s="1">
        <v>18000</v>
      </c>
      <c r="I442" s="1">
        <f>_xlfn.XLOOKUP($C442,'Plaza SP Tar'!$C:$C,'Plaza SP Tar'!G:G)</f>
        <v>6603882.529508898</v>
      </c>
      <c r="J442" s="1">
        <v>25000</v>
      </c>
      <c r="K442" s="1">
        <f>_xlfn.XLOOKUP($C442,'Plaza SP Tar'!$C:$C,'Plaza SP Tar'!H:H)</f>
        <v>7204235.4867369793</v>
      </c>
      <c r="L442" s="1">
        <v>30000</v>
      </c>
      <c r="M442" s="1">
        <f>_xlfn.XLOOKUP($C442,'Plaza SP Tar'!$C:$C,'Plaza SP Tar'!I:I)</f>
        <v>7804588.4439650616</v>
      </c>
      <c r="N442" s="1">
        <v>40000</v>
      </c>
      <c r="O442" s="1">
        <f>_xlfn.XLOOKUP($C442,'Plaza SP Tar'!$C:$C,'Plaza SP Tar'!J:J)</f>
        <v>8404941.4011931419</v>
      </c>
      <c r="P442" s="1">
        <v>45000</v>
      </c>
      <c r="Q442" s="1">
        <f>_xlfn.XLOOKUP($C442,'Plaza SP Tar'!$C:$C,'Plaza SP Tar'!K:K)</f>
        <v>9005294.3584212251</v>
      </c>
      <c r="R442">
        <v>50000</v>
      </c>
    </row>
    <row r="443" spans="1:18" x14ac:dyDescent="0.25">
      <c r="A443" t="s">
        <v>451</v>
      </c>
      <c r="B443" t="s">
        <v>467</v>
      </c>
      <c r="C443" t="s">
        <v>481</v>
      </c>
      <c r="D443" s="1">
        <v>2858334</v>
      </c>
      <c r="E443" s="1">
        <f>_xlfn.XLOOKUP($C443,'Plaza SP Tar'!$C:$C,'Plaza SP Tar'!E:E)</f>
        <v>3119963.0446682689</v>
      </c>
      <c r="F443" s="1">
        <v>10000</v>
      </c>
      <c r="G443" s="1">
        <f>_xlfn.XLOOKUP($C443,'Plaza SP Tar'!$C:$C,'Plaza SP Tar'!F:F)</f>
        <v>3565672.0510494499</v>
      </c>
      <c r="H443" s="1">
        <v>18000</v>
      </c>
      <c r="I443" s="1">
        <f>_xlfn.XLOOKUP($C443,'Plaza SP Tar'!$C:$C,'Plaza SP Tar'!G:G)</f>
        <v>3922239.2561543947</v>
      </c>
      <c r="J443" s="1">
        <v>25000</v>
      </c>
      <c r="K443" s="1">
        <f>_xlfn.XLOOKUP($C443,'Plaza SP Tar'!$C:$C,'Plaza SP Tar'!H:H)</f>
        <v>4278806.4612593399</v>
      </c>
      <c r="L443" s="1">
        <v>30000</v>
      </c>
      <c r="M443" s="1">
        <f>_xlfn.XLOOKUP($C443,'Plaza SP Tar'!$C:$C,'Plaza SP Tar'!I:I)</f>
        <v>4635373.6663642852</v>
      </c>
      <c r="N443" s="1">
        <v>40000</v>
      </c>
      <c r="O443" s="1">
        <f>_xlfn.XLOOKUP($C443,'Plaza SP Tar'!$C:$C,'Plaza SP Tar'!J:J)</f>
        <v>4991940.8714692295</v>
      </c>
      <c r="P443" s="1">
        <v>45000</v>
      </c>
      <c r="Q443" s="1">
        <f>_xlfn.XLOOKUP($C443,'Plaza SP Tar'!$C:$C,'Plaza SP Tar'!K:K)</f>
        <v>5348508.0765741747</v>
      </c>
      <c r="R443">
        <v>50000</v>
      </c>
    </row>
    <row r="444" spans="1:18" x14ac:dyDescent="0.25">
      <c r="A444" t="s">
        <v>451</v>
      </c>
      <c r="B444" t="s">
        <v>482</v>
      </c>
      <c r="C444" t="s">
        <v>483</v>
      </c>
      <c r="D444" s="1">
        <v>2881129</v>
      </c>
      <c r="E444" s="1">
        <f>_xlfn.XLOOKUP($C444,'Plaza SP Tar'!$C:$C,'Plaza SP Tar'!E:E)</f>
        <v>3144844.5167436856</v>
      </c>
      <c r="F444" s="1">
        <v>10000</v>
      </c>
      <c r="G444" s="1">
        <f>_xlfn.XLOOKUP($C444,'Plaza SP Tar'!$C:$C,'Plaza SP Tar'!F:F)</f>
        <v>3594108.0191356405</v>
      </c>
      <c r="H444" s="1">
        <v>18000</v>
      </c>
      <c r="I444" s="1">
        <f>_xlfn.XLOOKUP($C444,'Plaza SP Tar'!$C:$C,'Plaza SP Tar'!G:G)</f>
        <v>3953518.8210492041</v>
      </c>
      <c r="J444" s="1">
        <v>25000</v>
      </c>
      <c r="K444" s="1">
        <f>_xlfn.XLOOKUP($C444,'Plaza SP Tar'!$C:$C,'Plaza SP Tar'!H:H)</f>
        <v>4312929.6229627682</v>
      </c>
      <c r="L444" s="1">
        <v>30000</v>
      </c>
      <c r="M444" s="1">
        <f>_xlfn.XLOOKUP($C444,'Plaza SP Tar'!$C:$C,'Plaza SP Tar'!I:I)</f>
        <v>4672340.4248763323</v>
      </c>
      <c r="N444" s="1">
        <v>40000</v>
      </c>
      <c r="O444" s="1">
        <f>_xlfn.XLOOKUP($C444,'Plaza SP Tar'!$C:$C,'Plaza SP Tar'!J:J)</f>
        <v>5031751.2267898964</v>
      </c>
      <c r="P444" s="1">
        <v>45000</v>
      </c>
      <c r="Q444" s="1">
        <f>_xlfn.XLOOKUP($C444,'Plaza SP Tar'!$C:$C,'Plaza SP Tar'!K:K)</f>
        <v>5391162.0287034605</v>
      </c>
      <c r="R444">
        <v>50000</v>
      </c>
    </row>
    <row r="445" spans="1:18" x14ac:dyDescent="0.25">
      <c r="A445" t="s">
        <v>451</v>
      </c>
      <c r="B445" t="s">
        <v>482</v>
      </c>
      <c r="C445" t="s">
        <v>484</v>
      </c>
      <c r="D445" s="1">
        <v>5745677</v>
      </c>
      <c r="E445" s="1">
        <f>_xlfn.XLOOKUP($C445,'Plaza SP Tar'!$C:$C,'Plaza SP Tar'!E:E)</f>
        <v>6271590.3412968693</v>
      </c>
      <c r="F445" s="1">
        <v>10000</v>
      </c>
      <c r="G445" s="1">
        <f>_xlfn.XLOOKUP($C445,'Plaza SP Tar'!$C:$C,'Plaza SP Tar'!F:F)</f>
        <v>7167531.8186249938</v>
      </c>
      <c r="H445" s="1">
        <v>18000</v>
      </c>
      <c r="I445" s="1">
        <f>_xlfn.XLOOKUP($C445,'Plaza SP Tar'!$C:$C,'Plaza SP Tar'!G:G)</f>
        <v>7884285.0004874915</v>
      </c>
      <c r="J445" s="1">
        <v>25000</v>
      </c>
      <c r="K445" s="1">
        <f>_xlfn.XLOOKUP($C445,'Plaza SP Tar'!$C:$C,'Plaza SP Tar'!H:H)</f>
        <v>8601038.1823499911</v>
      </c>
      <c r="L445" s="1">
        <v>30000</v>
      </c>
      <c r="M445" s="1">
        <f>_xlfn.XLOOKUP($C445,'Plaza SP Tar'!$C:$C,'Plaza SP Tar'!I:I)</f>
        <v>9317791.3642124906</v>
      </c>
      <c r="N445" s="1">
        <v>40000</v>
      </c>
      <c r="O445" s="1">
        <f>_xlfn.XLOOKUP($C445,'Plaza SP Tar'!$C:$C,'Plaza SP Tar'!J:J)</f>
        <v>10034544.54607499</v>
      </c>
      <c r="P445" s="1">
        <v>45000</v>
      </c>
      <c r="Q445" s="1">
        <f>_xlfn.XLOOKUP($C445,'Plaza SP Tar'!$C:$C,'Plaza SP Tar'!K:K)</f>
        <v>10751297.72793749</v>
      </c>
      <c r="R445">
        <v>50000</v>
      </c>
    </row>
    <row r="446" spans="1:18" x14ac:dyDescent="0.25">
      <c r="A446" t="s">
        <v>451</v>
      </c>
      <c r="B446" t="s">
        <v>482</v>
      </c>
      <c r="C446" t="s">
        <v>485</v>
      </c>
      <c r="D446" s="1">
        <v>2879762</v>
      </c>
      <c r="E446" s="1">
        <f>_xlfn.XLOOKUP($C446,'Plaza SP Tar'!$C:$C,'Plaza SP Tar'!E:E)</f>
        <v>3143352.3924915646</v>
      </c>
      <c r="F446" s="1">
        <v>10000</v>
      </c>
      <c r="G446" s="1">
        <f>_xlfn.XLOOKUP($C446,'Plaza SP Tar'!$C:$C,'Plaza SP Tar'!F:F)</f>
        <v>3592402.7342760735</v>
      </c>
      <c r="H446" s="1">
        <v>18000</v>
      </c>
      <c r="I446" s="1">
        <f>_xlfn.XLOOKUP($C446,'Plaza SP Tar'!$C:$C,'Plaza SP Tar'!G:G)</f>
        <v>3951643.0077036805</v>
      </c>
      <c r="J446" s="1">
        <v>25000</v>
      </c>
      <c r="K446" s="1">
        <f>_xlfn.XLOOKUP($C446,'Plaza SP Tar'!$C:$C,'Plaza SP Tar'!H:H)</f>
        <v>4310883.281131288</v>
      </c>
      <c r="L446" s="1">
        <v>30000</v>
      </c>
      <c r="M446" s="1">
        <f>_xlfn.XLOOKUP($C446,'Plaza SP Tar'!$C:$C,'Plaza SP Tar'!I:I)</f>
        <v>4670123.5545588955</v>
      </c>
      <c r="N446" s="1">
        <v>40000</v>
      </c>
      <c r="O446" s="1">
        <f>_xlfn.XLOOKUP($C446,'Plaza SP Tar'!$C:$C,'Plaza SP Tar'!J:J)</f>
        <v>5029363.827986503</v>
      </c>
      <c r="P446" s="1">
        <v>45000</v>
      </c>
      <c r="Q446" s="1">
        <f>_xlfn.XLOOKUP($C446,'Plaza SP Tar'!$C:$C,'Plaza SP Tar'!K:K)</f>
        <v>5388604.1014141105</v>
      </c>
      <c r="R446">
        <v>50000</v>
      </c>
    </row>
    <row r="447" spans="1:18" x14ac:dyDescent="0.25">
      <c r="A447" t="s">
        <v>451</v>
      </c>
      <c r="B447" t="s">
        <v>482</v>
      </c>
      <c r="C447" t="s">
        <v>486</v>
      </c>
      <c r="D447" s="1">
        <v>4700840</v>
      </c>
      <c r="E447" s="1">
        <f>_xlfn.XLOOKUP($C447,'Plaza SP Tar'!$C:$C,'Plaza SP Tar'!E:E)</f>
        <v>5131117.3148058923</v>
      </c>
      <c r="F447" s="1">
        <v>10000</v>
      </c>
      <c r="G447" s="1">
        <f>_xlfn.XLOOKUP($C447,'Plaza SP Tar'!$C:$C,'Plaza SP Tar'!F:F)</f>
        <v>5864134.0740638766</v>
      </c>
      <c r="H447" s="1">
        <v>18000</v>
      </c>
      <c r="I447" s="1">
        <f>_xlfn.XLOOKUP($C447,'Plaza SP Tar'!$C:$C,'Plaza SP Tar'!G:G)</f>
        <v>6450547.4814702636</v>
      </c>
      <c r="J447" s="1">
        <v>25000</v>
      </c>
      <c r="K447" s="1">
        <f>_xlfn.XLOOKUP($C447,'Plaza SP Tar'!$C:$C,'Plaza SP Tar'!H:H)</f>
        <v>7036960.8888766514</v>
      </c>
      <c r="L447" s="1">
        <v>30000</v>
      </c>
      <c r="M447" s="1">
        <f>_xlfn.XLOOKUP($C447,'Plaza SP Tar'!$C:$C,'Plaza SP Tar'!I:I)</f>
        <v>7623374.2962830402</v>
      </c>
      <c r="N447" s="1">
        <v>40000</v>
      </c>
      <c r="O447" s="1">
        <f>_xlfn.XLOOKUP($C447,'Plaza SP Tar'!$C:$C,'Plaza SP Tar'!J:J)</f>
        <v>8209787.7036894271</v>
      </c>
      <c r="P447" s="1">
        <v>45000</v>
      </c>
      <c r="Q447" s="1">
        <f>_xlfn.XLOOKUP($C447,'Plaza SP Tar'!$C:$C,'Plaza SP Tar'!K:K)</f>
        <v>8796201.111095814</v>
      </c>
      <c r="R447">
        <v>50000</v>
      </c>
    </row>
    <row r="448" spans="1:18" x14ac:dyDescent="0.25">
      <c r="A448" t="s">
        <v>451</v>
      </c>
      <c r="B448" t="s">
        <v>482</v>
      </c>
      <c r="C448" t="s">
        <v>487</v>
      </c>
      <c r="D448" s="1">
        <v>3957840</v>
      </c>
      <c r="E448" s="1">
        <f>_xlfn.XLOOKUP($C448,'Plaza SP Tar'!$C:$C,'Plaza SP Tar'!E:E)</f>
        <v>4320109.0343920132</v>
      </c>
      <c r="F448" s="1">
        <v>10000</v>
      </c>
      <c r="G448" s="1">
        <f>_xlfn.XLOOKUP($C448,'Plaza SP Tar'!$C:$C,'Plaza SP Tar'!F:F)</f>
        <v>4937267.4678765871</v>
      </c>
      <c r="H448" s="1">
        <v>18000</v>
      </c>
      <c r="I448" s="1">
        <f>_xlfn.XLOOKUP($C448,'Plaza SP Tar'!$C:$C,'Plaza SP Tar'!G:G)</f>
        <v>5430994.214664245</v>
      </c>
      <c r="J448" s="1">
        <v>25000</v>
      </c>
      <c r="K448" s="1">
        <f>_xlfn.XLOOKUP($C448,'Plaza SP Tar'!$C:$C,'Plaza SP Tar'!H:H)</f>
        <v>5924720.9614519039</v>
      </c>
      <c r="L448" s="1">
        <v>30000</v>
      </c>
      <c r="M448" s="1">
        <f>_xlfn.XLOOKUP($C448,'Plaza SP Tar'!$C:$C,'Plaza SP Tar'!I:I)</f>
        <v>6418447.7082395628</v>
      </c>
      <c r="N448" s="1">
        <v>40000</v>
      </c>
      <c r="O448" s="1">
        <f>_xlfn.XLOOKUP($C448,'Plaza SP Tar'!$C:$C,'Plaza SP Tar'!J:J)</f>
        <v>6912174.4550272208</v>
      </c>
      <c r="P448" s="1">
        <v>45000</v>
      </c>
      <c r="Q448" s="1">
        <f>_xlfn.XLOOKUP($C448,'Plaza SP Tar'!$C:$C,'Plaza SP Tar'!K:K)</f>
        <v>7405901.2018148797</v>
      </c>
      <c r="R448">
        <v>50000</v>
      </c>
    </row>
    <row r="449" spans="1:18" x14ac:dyDescent="0.25">
      <c r="A449" t="s">
        <v>451</v>
      </c>
      <c r="B449" t="s">
        <v>482</v>
      </c>
      <c r="C449" t="s">
        <v>488</v>
      </c>
      <c r="D449" s="1">
        <v>10299398</v>
      </c>
      <c r="E449" s="1">
        <f>_xlfn.XLOOKUP($C449,'Plaza SP Tar'!$C:$C,'Plaza SP Tar'!E:E)</f>
        <v>11242122.558920784</v>
      </c>
      <c r="F449" s="1">
        <v>10000</v>
      </c>
      <c r="G449" s="1">
        <f>_xlfn.XLOOKUP($C449,'Plaza SP Tar'!$C:$C,'Plaza SP Tar'!F:F)</f>
        <v>12848140.067338038</v>
      </c>
      <c r="H449" s="1">
        <v>18000</v>
      </c>
      <c r="I449" s="1">
        <f>_xlfn.XLOOKUP($C449,'Plaza SP Tar'!$C:$C,'Plaza SP Tar'!G:G)</f>
        <v>14132954.074071841</v>
      </c>
      <c r="J449" s="1">
        <v>25000</v>
      </c>
      <c r="K449" s="1">
        <f>_xlfn.XLOOKUP($C449,'Plaza SP Tar'!$C:$C,'Plaza SP Tar'!H:H)</f>
        <v>15417768.080805644</v>
      </c>
      <c r="L449" s="1">
        <v>30000</v>
      </c>
      <c r="M449" s="1">
        <f>_xlfn.XLOOKUP($C449,'Plaza SP Tar'!$C:$C,'Plaza SP Tar'!I:I)</f>
        <v>16702582.087539449</v>
      </c>
      <c r="N449" s="1">
        <v>40000</v>
      </c>
      <c r="O449" s="1">
        <f>_xlfn.XLOOKUP($C449,'Plaza SP Tar'!$C:$C,'Plaza SP Tar'!J:J)</f>
        <v>17987396.094273251</v>
      </c>
      <c r="P449" s="1">
        <v>45000</v>
      </c>
      <c r="Q449" s="1">
        <f>_xlfn.XLOOKUP($C449,'Plaza SP Tar'!$C:$C,'Plaza SP Tar'!K:K)</f>
        <v>19272210.101007055</v>
      </c>
      <c r="R449">
        <v>50000</v>
      </c>
    </row>
    <row r="450" spans="1:18" x14ac:dyDescent="0.25">
      <c r="A450" t="s">
        <v>451</v>
      </c>
      <c r="B450" t="s">
        <v>482</v>
      </c>
      <c r="C450" t="s">
        <v>489</v>
      </c>
      <c r="D450" s="1">
        <v>7767741</v>
      </c>
      <c r="E450" s="1">
        <f>_xlfn.XLOOKUP($C450,'Plaza SP Tar'!$C:$C,'Plaza SP Tar'!E:E)</f>
        <v>8478737.9153571781</v>
      </c>
      <c r="F450" s="1">
        <v>10000</v>
      </c>
      <c r="G450" s="1">
        <f>_xlfn.XLOOKUP($C450,'Plaza SP Tar'!$C:$C,'Plaza SP Tar'!F:F)</f>
        <v>9689986.1889796313</v>
      </c>
      <c r="H450" s="1">
        <v>18000</v>
      </c>
      <c r="I450" s="1">
        <f>_xlfn.XLOOKUP($C450,'Plaza SP Tar'!$C:$C,'Plaza SP Tar'!G:G)</f>
        <v>10658984.807877595</v>
      </c>
      <c r="J450" s="1">
        <v>25000</v>
      </c>
      <c r="K450" s="1">
        <f>_xlfn.XLOOKUP($C450,'Plaza SP Tar'!$C:$C,'Plaza SP Tar'!H:H)</f>
        <v>11627983.426775558</v>
      </c>
      <c r="L450" s="1">
        <v>30000</v>
      </c>
      <c r="M450" s="1">
        <f>_xlfn.XLOOKUP($C450,'Plaza SP Tar'!$C:$C,'Plaza SP Tar'!I:I)</f>
        <v>12596982.045673521</v>
      </c>
      <c r="N450" s="1">
        <v>40000</v>
      </c>
      <c r="O450" s="1">
        <f>_xlfn.XLOOKUP($C450,'Plaza SP Tar'!$C:$C,'Plaza SP Tar'!J:J)</f>
        <v>13565980.664571483</v>
      </c>
      <c r="P450" s="1">
        <v>45000</v>
      </c>
      <c r="Q450" s="1">
        <f>_xlfn.XLOOKUP($C450,'Plaza SP Tar'!$C:$C,'Plaza SP Tar'!K:K)</f>
        <v>14534979.283469448</v>
      </c>
      <c r="R450">
        <v>50000</v>
      </c>
    </row>
    <row r="451" spans="1:18" x14ac:dyDescent="0.25">
      <c r="A451" t="s">
        <v>451</v>
      </c>
      <c r="B451" t="s">
        <v>482</v>
      </c>
      <c r="C451" t="s">
        <v>490</v>
      </c>
      <c r="D451" s="1">
        <v>9950884</v>
      </c>
      <c r="E451" s="1">
        <f>_xlfn.XLOOKUP($C451,'Plaza SP Tar'!$C:$C,'Plaza SP Tar'!E:E)</f>
        <v>10861708.373402396</v>
      </c>
      <c r="F451" s="1">
        <v>10000</v>
      </c>
      <c r="G451" s="1">
        <f>_xlfn.XLOOKUP($C451,'Plaza SP Tar'!$C:$C,'Plaza SP Tar'!F:F)</f>
        <v>12413380.998174166</v>
      </c>
      <c r="H451" s="1">
        <v>18000</v>
      </c>
      <c r="I451" s="1">
        <f>_xlfn.XLOOKUP($C451,'Plaza SP Tar'!$C:$C,'Plaza SP Tar'!G:G)</f>
        <v>13654719.097991582</v>
      </c>
      <c r="J451" s="1">
        <v>25000</v>
      </c>
      <c r="K451" s="1">
        <f>_xlfn.XLOOKUP($C451,'Plaza SP Tar'!$C:$C,'Plaza SP Tar'!H:H)</f>
        <v>14896057.197808998</v>
      </c>
      <c r="L451" s="1">
        <v>30000</v>
      </c>
      <c r="M451" s="1">
        <f>_xlfn.XLOOKUP($C451,'Plaza SP Tar'!$C:$C,'Plaza SP Tar'!I:I)</f>
        <v>16137395.297626415</v>
      </c>
      <c r="N451" s="1">
        <v>40000</v>
      </c>
      <c r="O451" s="1">
        <f>_xlfn.XLOOKUP($C451,'Plaza SP Tar'!$C:$C,'Plaza SP Tar'!J:J)</f>
        <v>17378733.397443831</v>
      </c>
      <c r="P451" s="1">
        <v>45000</v>
      </c>
      <c r="Q451" s="1">
        <f>_xlfn.XLOOKUP($C451,'Plaza SP Tar'!$C:$C,'Plaza SP Tar'!K:K)</f>
        <v>18620071.497261249</v>
      </c>
      <c r="R451">
        <v>50000</v>
      </c>
    </row>
    <row r="452" spans="1:18" x14ac:dyDescent="0.25">
      <c r="A452" t="s">
        <v>451</v>
      </c>
      <c r="B452" t="s">
        <v>482</v>
      </c>
      <c r="C452" t="s">
        <v>491</v>
      </c>
      <c r="D452" s="1">
        <v>3682741</v>
      </c>
      <c r="E452" s="1">
        <f>_xlfn.XLOOKUP($C452,'Plaza SP Tar'!$C:$C,'Plaza SP Tar'!E:E)</f>
        <v>4019829.6710897558</v>
      </c>
      <c r="F452" s="1">
        <v>10000</v>
      </c>
      <c r="G452" s="1">
        <f>_xlfn.XLOOKUP($C452,'Plaza SP Tar'!$C:$C,'Plaza SP Tar'!F:F)</f>
        <v>4594091.0526740067</v>
      </c>
      <c r="H452" s="1">
        <v>18000</v>
      </c>
      <c r="I452" s="1">
        <f>_xlfn.XLOOKUP($C452,'Plaza SP Tar'!$C:$C,'Plaza SP Tar'!G:G)</f>
        <v>5053500.1579414066</v>
      </c>
      <c r="J452" s="1">
        <v>25000</v>
      </c>
      <c r="K452" s="1">
        <f>_xlfn.XLOOKUP($C452,'Plaza SP Tar'!$C:$C,'Plaza SP Tar'!H:H)</f>
        <v>5512909.2632088074</v>
      </c>
      <c r="L452" s="1">
        <v>30000</v>
      </c>
      <c r="M452" s="1">
        <f>_xlfn.XLOOKUP($C452,'Plaza SP Tar'!$C:$C,'Plaza SP Tar'!I:I)</f>
        <v>5972318.3684762083</v>
      </c>
      <c r="N452" s="1">
        <v>40000</v>
      </c>
      <c r="O452" s="1">
        <f>_xlfn.XLOOKUP($C452,'Plaza SP Tar'!$C:$C,'Plaza SP Tar'!J:J)</f>
        <v>6431727.4737436082</v>
      </c>
      <c r="P452" s="1">
        <v>45000</v>
      </c>
      <c r="Q452" s="1">
        <f>_xlfn.XLOOKUP($C452,'Plaza SP Tar'!$C:$C,'Plaza SP Tar'!K:K)</f>
        <v>6891136.5790110091</v>
      </c>
      <c r="R452">
        <v>50000</v>
      </c>
    </row>
    <row r="453" spans="1:18" x14ac:dyDescent="0.25">
      <c r="A453" t="s">
        <v>451</v>
      </c>
      <c r="B453" t="s">
        <v>482</v>
      </c>
      <c r="C453" t="s">
        <v>492</v>
      </c>
      <c r="D453" s="1">
        <v>4749772</v>
      </c>
      <c r="E453" s="1">
        <f>_xlfn.XLOOKUP($C453,'Plaza SP Tar'!$C:$C,'Plaza SP Tar'!E:E)</f>
        <v>5184528.1589205787</v>
      </c>
      <c r="F453" s="1">
        <v>10000</v>
      </c>
      <c r="G453" s="1">
        <f>_xlfn.XLOOKUP($C453,'Plaza SP Tar'!$C:$C,'Plaza SP Tar'!F:F)</f>
        <v>5925175.0387663757</v>
      </c>
      <c r="H453" s="1">
        <v>18000</v>
      </c>
      <c r="I453" s="1">
        <f>_xlfn.XLOOKUP($C453,'Plaza SP Tar'!$C:$C,'Plaza SP Tar'!G:G)</f>
        <v>6517692.5426430125</v>
      </c>
      <c r="J453" s="1">
        <v>25000</v>
      </c>
      <c r="K453" s="1">
        <f>_xlfn.XLOOKUP($C453,'Plaza SP Tar'!$C:$C,'Plaza SP Tar'!H:H)</f>
        <v>7110210.0465196501</v>
      </c>
      <c r="L453" s="1">
        <v>30000</v>
      </c>
      <c r="M453" s="1">
        <f>_xlfn.XLOOKUP($C453,'Plaza SP Tar'!$C:$C,'Plaza SP Tar'!I:I)</f>
        <v>7702727.5503962878</v>
      </c>
      <c r="N453" s="1">
        <v>40000</v>
      </c>
      <c r="O453" s="1">
        <f>_xlfn.XLOOKUP($C453,'Plaza SP Tar'!$C:$C,'Plaza SP Tar'!J:J)</f>
        <v>8295245.0542729245</v>
      </c>
      <c r="P453" s="1">
        <v>45000</v>
      </c>
      <c r="Q453" s="1">
        <f>_xlfn.XLOOKUP($C453,'Plaza SP Tar'!$C:$C,'Plaza SP Tar'!K:K)</f>
        <v>8887762.5581495631</v>
      </c>
      <c r="R453">
        <v>50000</v>
      </c>
    </row>
    <row r="454" spans="1:18" x14ac:dyDescent="0.25">
      <c r="A454" t="s">
        <v>451</v>
      </c>
      <c r="B454" t="s">
        <v>482</v>
      </c>
      <c r="C454" t="s">
        <v>493</v>
      </c>
      <c r="D454" s="1">
        <v>6939230</v>
      </c>
      <c r="E454" s="1">
        <f>_xlfn.XLOOKUP($C454,'Plaza SP Tar'!$C:$C,'Plaza SP Tar'!E:E)</f>
        <v>7574391.6415833114</v>
      </c>
      <c r="F454" s="1">
        <v>10000</v>
      </c>
      <c r="G454" s="1">
        <f>_xlfn.XLOOKUP($C454,'Plaza SP Tar'!$C:$C,'Plaza SP Tar'!F:F)</f>
        <v>8656447.5903809275</v>
      </c>
      <c r="H454" s="1">
        <v>18000</v>
      </c>
      <c r="I454" s="1">
        <f>_xlfn.XLOOKUP($C454,'Plaza SP Tar'!$C:$C,'Plaza SP Tar'!G:G)</f>
        <v>9522092.3494190183</v>
      </c>
      <c r="J454" s="1">
        <v>25000</v>
      </c>
      <c r="K454" s="1">
        <f>_xlfn.XLOOKUP($C454,'Plaza SP Tar'!$C:$C,'Plaza SP Tar'!H:H)</f>
        <v>10387737.108457111</v>
      </c>
      <c r="L454" s="1">
        <v>30000</v>
      </c>
      <c r="M454" s="1">
        <f>_xlfn.XLOOKUP($C454,'Plaza SP Tar'!$C:$C,'Plaza SP Tar'!I:I)</f>
        <v>11253381.867495205</v>
      </c>
      <c r="N454" s="1">
        <v>40000</v>
      </c>
      <c r="O454" s="1">
        <f>_xlfn.XLOOKUP($C454,'Plaza SP Tar'!$C:$C,'Plaza SP Tar'!J:J)</f>
        <v>12119026.626533296</v>
      </c>
      <c r="P454" s="1">
        <v>45000</v>
      </c>
      <c r="Q454" s="1">
        <f>_xlfn.XLOOKUP($C454,'Plaza SP Tar'!$C:$C,'Plaza SP Tar'!K:K)</f>
        <v>12984671.38557139</v>
      </c>
      <c r="R454">
        <v>50000</v>
      </c>
    </row>
    <row r="455" spans="1:18" x14ac:dyDescent="0.25">
      <c r="A455" t="s">
        <v>451</v>
      </c>
      <c r="B455" t="s">
        <v>482</v>
      </c>
      <c r="C455" t="s">
        <v>494</v>
      </c>
      <c r="D455" s="1">
        <v>9314444</v>
      </c>
      <c r="E455" s="1">
        <f>_xlfn.XLOOKUP($C455,'Plaza SP Tar'!$C:$C,'Plaza SP Tar'!E:E)</f>
        <v>10167013.74354155</v>
      </c>
      <c r="F455" s="1">
        <v>10000</v>
      </c>
      <c r="G455" s="1">
        <f>_xlfn.XLOOKUP($C455,'Plaza SP Tar'!$C:$C,'Plaza SP Tar'!F:F)</f>
        <v>11619444.278333198</v>
      </c>
      <c r="H455" s="1">
        <v>18000</v>
      </c>
      <c r="I455" s="1">
        <f>_xlfn.XLOOKUP($C455,'Plaza SP Tar'!$C:$C,'Plaza SP Tar'!G:G)</f>
        <v>12781388.706166517</v>
      </c>
      <c r="J455" s="1">
        <v>25000</v>
      </c>
      <c r="K455" s="1">
        <f>_xlfn.XLOOKUP($C455,'Plaza SP Tar'!$C:$C,'Plaza SP Tar'!H:H)</f>
        <v>13943333.133999838</v>
      </c>
      <c r="L455" s="1">
        <v>30000</v>
      </c>
      <c r="M455" s="1">
        <f>_xlfn.XLOOKUP($C455,'Plaza SP Tar'!$C:$C,'Plaza SP Tar'!I:I)</f>
        <v>15105277.561833158</v>
      </c>
      <c r="N455" s="1">
        <v>40000</v>
      </c>
      <c r="O455" s="1">
        <f>_xlfn.XLOOKUP($C455,'Plaza SP Tar'!$C:$C,'Plaza SP Tar'!J:J)</f>
        <v>16267221.989666477</v>
      </c>
      <c r="P455" s="1">
        <v>45000</v>
      </c>
      <c r="Q455" s="1">
        <f>_xlfn.XLOOKUP($C455,'Plaza SP Tar'!$C:$C,'Plaza SP Tar'!K:K)</f>
        <v>17429166.417499796</v>
      </c>
      <c r="R455">
        <v>50000</v>
      </c>
    </row>
    <row r="456" spans="1:18" x14ac:dyDescent="0.25">
      <c r="A456" t="s">
        <v>451</v>
      </c>
      <c r="B456" t="s">
        <v>482</v>
      </c>
      <c r="C456" t="s">
        <v>495</v>
      </c>
      <c r="D456" s="1">
        <v>4683613</v>
      </c>
      <c r="E456" s="1">
        <f>_xlfn.XLOOKUP($C456,'Plaza SP Tar'!$C:$C,'Plaza SP Tar'!E:E)</f>
        <v>5112313.4929395532</v>
      </c>
      <c r="F456" s="1">
        <v>10000</v>
      </c>
      <c r="G456" s="1">
        <f>_xlfn.XLOOKUP($C456,'Plaza SP Tar'!$C:$C,'Plaza SP Tar'!F:F)</f>
        <v>5842643.9919309178</v>
      </c>
      <c r="H456" s="1">
        <v>18000</v>
      </c>
      <c r="I456" s="1">
        <f>_xlfn.XLOOKUP($C456,'Plaza SP Tar'!$C:$C,'Plaza SP Tar'!G:G)</f>
        <v>6426908.3911240092</v>
      </c>
      <c r="J456" s="1">
        <v>25000</v>
      </c>
      <c r="K456" s="1">
        <f>_xlfn.XLOOKUP($C456,'Plaza SP Tar'!$C:$C,'Plaza SP Tar'!H:H)</f>
        <v>7011172.7903171014</v>
      </c>
      <c r="L456" s="1">
        <v>30000</v>
      </c>
      <c r="M456" s="1">
        <f>_xlfn.XLOOKUP($C456,'Plaza SP Tar'!$C:$C,'Plaza SP Tar'!I:I)</f>
        <v>7595437.1895101937</v>
      </c>
      <c r="N456" s="1">
        <v>40000</v>
      </c>
      <c r="O456" s="1">
        <f>_xlfn.XLOOKUP($C456,'Plaza SP Tar'!$C:$C,'Plaza SP Tar'!J:J)</f>
        <v>8179701.588703284</v>
      </c>
      <c r="P456" s="1">
        <v>45000</v>
      </c>
      <c r="Q456" s="1">
        <f>_xlfn.XLOOKUP($C456,'Plaza SP Tar'!$C:$C,'Plaza SP Tar'!K:K)</f>
        <v>8763965.9878963772</v>
      </c>
      <c r="R456">
        <v>50000</v>
      </c>
    </row>
    <row r="457" spans="1:18" x14ac:dyDescent="0.25">
      <c r="A457" t="s">
        <v>451</v>
      </c>
      <c r="B457" t="s">
        <v>482</v>
      </c>
      <c r="C457" t="s">
        <v>496</v>
      </c>
      <c r="D457" s="1">
        <v>3228224</v>
      </c>
      <c r="E457" s="1">
        <f>_xlfn.XLOOKUP($C457,'Plaza SP Tar'!$C:$C,'Plaza SP Tar'!E:E)</f>
        <v>3523709.818345644</v>
      </c>
      <c r="F457" s="1">
        <v>10000</v>
      </c>
      <c r="G457" s="1">
        <f>_xlfn.XLOOKUP($C457,'Plaza SP Tar'!$C:$C,'Plaza SP Tar'!F:F)</f>
        <v>4027096.9352521645</v>
      </c>
      <c r="H457" s="1">
        <v>18000</v>
      </c>
      <c r="I457" s="1">
        <f>_xlfn.XLOOKUP($C457,'Plaza SP Tar'!$C:$C,'Plaza SP Tar'!G:G)</f>
        <v>4429806.6287773801</v>
      </c>
      <c r="J457" s="1">
        <v>25000</v>
      </c>
      <c r="K457" s="1">
        <f>_xlfn.XLOOKUP($C457,'Plaza SP Tar'!$C:$C,'Plaza SP Tar'!H:H)</f>
        <v>4832516.3223025966</v>
      </c>
      <c r="L457" s="1">
        <v>30000</v>
      </c>
      <c r="M457" s="1">
        <f>_xlfn.XLOOKUP($C457,'Plaza SP Tar'!$C:$C,'Plaza SP Tar'!I:I)</f>
        <v>5235226.0158278141</v>
      </c>
      <c r="N457" s="1">
        <v>40000</v>
      </c>
      <c r="O457" s="1">
        <f>_xlfn.XLOOKUP($C457,'Plaza SP Tar'!$C:$C,'Plaza SP Tar'!J:J)</f>
        <v>5637935.7093530297</v>
      </c>
      <c r="P457" s="1">
        <v>45000</v>
      </c>
      <c r="Q457" s="1">
        <f>_xlfn.XLOOKUP($C457,'Plaza SP Tar'!$C:$C,'Plaza SP Tar'!K:K)</f>
        <v>6040645.4028782463</v>
      </c>
      <c r="R457">
        <v>50000</v>
      </c>
    </row>
    <row r="458" spans="1:18" x14ac:dyDescent="0.25">
      <c r="A458" t="s">
        <v>451</v>
      </c>
      <c r="B458" t="s">
        <v>497</v>
      </c>
      <c r="C458" t="s">
        <v>498</v>
      </c>
      <c r="D458" s="1">
        <v>5340037</v>
      </c>
      <c r="E458" s="1">
        <f>_xlfn.XLOOKUP($C458,'Plaza SP Tar'!$C:$C,'Plaza SP Tar'!E:E)</f>
        <v>5828821.2984071169</v>
      </c>
      <c r="F458" s="1">
        <v>10000</v>
      </c>
      <c r="G458" s="1">
        <f>_xlfn.XLOOKUP($C458,'Plaza SP Tar'!$C:$C,'Plaza SP Tar'!F:F)</f>
        <v>6661510.0553224199</v>
      </c>
      <c r="H458" s="1">
        <v>18000</v>
      </c>
      <c r="I458" s="1">
        <f>_xlfn.XLOOKUP($C458,'Plaza SP Tar'!$C:$C,'Plaza SP Tar'!G:G)</f>
        <v>7327661.0608546603</v>
      </c>
      <c r="J458" s="1">
        <v>25000</v>
      </c>
      <c r="K458" s="1">
        <f>_xlfn.XLOOKUP($C458,'Plaza SP Tar'!$C:$C,'Plaza SP Tar'!H:H)</f>
        <v>7993812.0663869027</v>
      </c>
      <c r="L458" s="1">
        <v>30000</v>
      </c>
      <c r="M458" s="1">
        <f>_xlfn.XLOOKUP($C458,'Plaza SP Tar'!$C:$C,'Plaza SP Tar'!I:I)</f>
        <v>8659963.0719191451</v>
      </c>
      <c r="N458" s="1">
        <v>40000</v>
      </c>
      <c r="O458" s="1">
        <f>_xlfn.XLOOKUP($C458,'Plaza SP Tar'!$C:$C,'Plaza SP Tar'!J:J)</f>
        <v>9326114.0774513856</v>
      </c>
      <c r="P458" s="1">
        <v>45000</v>
      </c>
      <c r="Q458" s="1">
        <f>_xlfn.XLOOKUP($C458,'Plaza SP Tar'!$C:$C,'Plaza SP Tar'!K:K)</f>
        <v>9992265.0829836279</v>
      </c>
      <c r="R458">
        <v>50000</v>
      </c>
    </row>
    <row r="459" spans="1:18" x14ac:dyDescent="0.25">
      <c r="A459" t="s">
        <v>451</v>
      </c>
      <c r="B459" t="s">
        <v>497</v>
      </c>
      <c r="C459" t="s">
        <v>499</v>
      </c>
      <c r="D459" s="1">
        <v>5369247</v>
      </c>
      <c r="E459" s="1">
        <f>_xlfn.XLOOKUP($C459,'Plaza SP Tar'!$C:$C,'Plaza SP Tar'!E:E)</f>
        <v>5860704.9483006429</v>
      </c>
      <c r="F459" s="1">
        <v>10000</v>
      </c>
      <c r="G459" s="1">
        <f>_xlfn.XLOOKUP($C459,'Plaza SP Tar'!$C:$C,'Plaza SP Tar'!F:F)</f>
        <v>6697948.5123435911</v>
      </c>
      <c r="H459" s="1">
        <v>18000</v>
      </c>
      <c r="I459" s="1">
        <f>_xlfn.XLOOKUP($C459,'Plaza SP Tar'!$C:$C,'Plaza SP Tar'!G:G)</f>
        <v>7367743.3635779498</v>
      </c>
      <c r="J459" s="1">
        <v>25000</v>
      </c>
      <c r="K459" s="1">
        <f>_xlfn.XLOOKUP($C459,'Plaza SP Tar'!$C:$C,'Plaza SP Tar'!H:H)</f>
        <v>8037538.2148123095</v>
      </c>
      <c r="L459" s="1">
        <v>30000</v>
      </c>
      <c r="M459" s="1">
        <f>_xlfn.XLOOKUP($C459,'Plaza SP Tar'!$C:$C,'Plaza SP Tar'!I:I)</f>
        <v>8707333.0660466682</v>
      </c>
      <c r="N459" s="1">
        <v>40000</v>
      </c>
      <c r="O459" s="1">
        <f>_xlfn.XLOOKUP($C459,'Plaza SP Tar'!$C:$C,'Plaza SP Tar'!J:J)</f>
        <v>9377127.9172810279</v>
      </c>
      <c r="P459" s="1">
        <v>45000</v>
      </c>
      <c r="Q459" s="1">
        <f>_xlfn.XLOOKUP($C459,'Plaza SP Tar'!$C:$C,'Plaza SP Tar'!K:K)</f>
        <v>10046922.768515386</v>
      </c>
      <c r="R459">
        <v>50000</v>
      </c>
    </row>
    <row r="460" spans="1:18" x14ac:dyDescent="0.25">
      <c r="A460" t="s">
        <v>451</v>
      </c>
      <c r="B460" t="s">
        <v>497</v>
      </c>
      <c r="C460" t="s">
        <v>500</v>
      </c>
      <c r="D460" s="1">
        <v>5268111</v>
      </c>
      <c r="E460" s="1">
        <f>_xlfn.XLOOKUP($C460,'Plaza SP Tar'!$C:$C,'Plaza SP Tar'!E:E)</f>
        <v>5750311.7673478322</v>
      </c>
      <c r="F460" s="1">
        <v>10000</v>
      </c>
      <c r="G460" s="1">
        <f>_xlfn.XLOOKUP($C460,'Plaza SP Tar'!$C:$C,'Plaza SP Tar'!F:F)</f>
        <v>6571784.876968951</v>
      </c>
      <c r="H460" s="1">
        <v>18000</v>
      </c>
      <c r="I460" s="1">
        <f>_xlfn.XLOOKUP($C460,'Plaza SP Tar'!$C:$C,'Plaza SP Tar'!G:G)</f>
        <v>7228963.3646658454</v>
      </c>
      <c r="J460" s="1">
        <v>25000</v>
      </c>
      <c r="K460" s="1">
        <f>_xlfn.XLOOKUP($C460,'Plaza SP Tar'!$C:$C,'Plaza SP Tar'!H:H)</f>
        <v>7886141.8523627408</v>
      </c>
      <c r="L460" s="1">
        <v>30000</v>
      </c>
      <c r="M460" s="1">
        <f>_xlfn.XLOOKUP($C460,'Plaza SP Tar'!$C:$C,'Plaza SP Tar'!I:I)</f>
        <v>8543320.3400596362</v>
      </c>
      <c r="N460" s="1">
        <v>40000</v>
      </c>
      <c r="O460" s="1">
        <f>_xlfn.XLOOKUP($C460,'Plaza SP Tar'!$C:$C,'Plaza SP Tar'!J:J)</f>
        <v>9200498.8277565315</v>
      </c>
      <c r="P460" s="1">
        <v>45000</v>
      </c>
      <c r="Q460" s="1">
        <f>_xlfn.XLOOKUP($C460,'Plaza SP Tar'!$C:$C,'Plaza SP Tar'!K:K)</f>
        <v>9857677.3154534269</v>
      </c>
      <c r="R460">
        <v>50000</v>
      </c>
    </row>
    <row r="461" spans="1:18" x14ac:dyDescent="0.25">
      <c r="A461" t="s">
        <v>451</v>
      </c>
      <c r="B461" t="s">
        <v>497</v>
      </c>
      <c r="C461" t="s">
        <v>501</v>
      </c>
      <c r="D461" s="1">
        <v>3137331</v>
      </c>
      <c r="E461" s="1">
        <f>_xlfn.XLOOKUP($C461,'Plaza SP Tar'!$C:$C,'Plaza SP Tar'!E:E)</f>
        <v>3424497.1997296833</v>
      </c>
      <c r="F461" s="1">
        <v>10000</v>
      </c>
      <c r="G461" s="1">
        <f>_xlfn.XLOOKUP($C461,'Plaza SP Tar'!$C:$C,'Plaza SP Tar'!F:F)</f>
        <v>3913711.0854053525</v>
      </c>
      <c r="H461" s="1">
        <v>18000</v>
      </c>
      <c r="I461" s="1">
        <f>_xlfn.XLOOKUP($C461,'Plaza SP Tar'!$C:$C,'Plaza SP Tar'!G:G)</f>
        <v>4305082.1939458875</v>
      </c>
      <c r="J461" s="1">
        <v>25000</v>
      </c>
      <c r="K461" s="1">
        <f>_xlfn.XLOOKUP($C461,'Plaza SP Tar'!$C:$C,'Plaza SP Tar'!H:H)</f>
        <v>4696453.3024864225</v>
      </c>
      <c r="L461" s="1">
        <v>30000</v>
      </c>
      <c r="M461" s="1">
        <f>_xlfn.XLOOKUP($C461,'Plaza SP Tar'!$C:$C,'Plaza SP Tar'!I:I)</f>
        <v>5087824.4110269584</v>
      </c>
      <c r="N461" s="1">
        <v>40000</v>
      </c>
      <c r="O461" s="1">
        <f>_xlfn.XLOOKUP($C461,'Plaza SP Tar'!$C:$C,'Plaza SP Tar'!J:J)</f>
        <v>5479195.5195674924</v>
      </c>
      <c r="P461" s="1">
        <v>45000</v>
      </c>
      <c r="Q461" s="1">
        <f>_xlfn.XLOOKUP($C461,'Plaza SP Tar'!$C:$C,'Plaza SP Tar'!K:K)</f>
        <v>5870566.6281080283</v>
      </c>
      <c r="R461">
        <v>50000</v>
      </c>
    </row>
    <row r="462" spans="1:18" x14ac:dyDescent="0.25">
      <c r="A462" t="s">
        <v>451</v>
      </c>
      <c r="B462" t="s">
        <v>497</v>
      </c>
      <c r="C462" t="s">
        <v>502</v>
      </c>
      <c r="D462" s="1">
        <v>3219249</v>
      </c>
      <c r="E462" s="1">
        <f>_xlfn.XLOOKUP($C462,'Plaza SP Tar'!$C:$C,'Plaza SP Tar'!E:E)</f>
        <v>3513913.3185923267</v>
      </c>
      <c r="F462" s="1">
        <v>10000</v>
      </c>
      <c r="G462" s="1">
        <f>_xlfn.XLOOKUP($C462,'Plaza SP Tar'!$C:$C,'Plaza SP Tar'!F:F)</f>
        <v>4015900.9355340879</v>
      </c>
      <c r="H462" s="1">
        <v>18000</v>
      </c>
      <c r="I462" s="1">
        <f>_xlfn.XLOOKUP($C462,'Plaza SP Tar'!$C:$C,'Plaza SP Tar'!G:G)</f>
        <v>4417491.029087496</v>
      </c>
      <c r="J462" s="1">
        <v>25000</v>
      </c>
      <c r="K462" s="1">
        <f>_xlfn.XLOOKUP($C462,'Plaza SP Tar'!$C:$C,'Plaza SP Tar'!H:H)</f>
        <v>4819081.122640905</v>
      </c>
      <c r="L462" s="1">
        <v>30000</v>
      </c>
      <c r="M462" s="1">
        <f>_xlfn.XLOOKUP($C462,'Plaza SP Tar'!$C:$C,'Plaza SP Tar'!I:I)</f>
        <v>5220671.216194314</v>
      </c>
      <c r="N462" s="1">
        <v>40000</v>
      </c>
      <c r="O462" s="1">
        <f>_xlfn.XLOOKUP($C462,'Plaza SP Tar'!$C:$C,'Plaza SP Tar'!J:J)</f>
        <v>5622261.309747722</v>
      </c>
      <c r="P462" s="1">
        <v>45000</v>
      </c>
      <c r="Q462" s="1">
        <f>_xlfn.XLOOKUP($C462,'Plaza SP Tar'!$C:$C,'Plaza SP Tar'!K:K)</f>
        <v>6023851.403301131</v>
      </c>
      <c r="R462">
        <v>50000</v>
      </c>
    </row>
    <row r="463" spans="1:18" x14ac:dyDescent="0.25">
      <c r="A463" t="s">
        <v>451</v>
      </c>
      <c r="B463" t="s">
        <v>497</v>
      </c>
      <c r="C463" t="s">
        <v>503</v>
      </c>
      <c r="D463" s="1">
        <v>3300266</v>
      </c>
      <c r="E463" s="1">
        <f>_xlfn.XLOOKUP($C463,'Plaza SP Tar'!$C:$C,'Plaza SP Tar'!E:E)</f>
        <v>3602345.9671176178</v>
      </c>
      <c r="F463" s="1">
        <v>10000</v>
      </c>
      <c r="G463" s="1">
        <f>_xlfn.XLOOKUP($C463,'Plaza SP Tar'!$C:$C,'Plaza SP Tar'!F:F)</f>
        <v>4116966.8195629916</v>
      </c>
      <c r="H463" s="1">
        <v>18000</v>
      </c>
      <c r="I463" s="1">
        <f>_xlfn.XLOOKUP($C463,'Plaza SP Tar'!$C:$C,'Plaza SP Tar'!G:G)</f>
        <v>4528663.5015192907</v>
      </c>
      <c r="J463" s="1">
        <v>25000</v>
      </c>
      <c r="K463" s="1">
        <f>_xlfn.XLOOKUP($C463,'Plaza SP Tar'!$C:$C,'Plaza SP Tar'!H:H)</f>
        <v>4940360.1834755903</v>
      </c>
      <c r="L463" s="1">
        <v>30000</v>
      </c>
      <c r="M463" s="1">
        <f>_xlfn.XLOOKUP($C463,'Plaza SP Tar'!$C:$C,'Plaza SP Tar'!I:I)</f>
        <v>5352056.865431889</v>
      </c>
      <c r="N463" s="1">
        <v>40000</v>
      </c>
      <c r="O463" s="1">
        <f>_xlfn.XLOOKUP($C463,'Plaza SP Tar'!$C:$C,'Plaza SP Tar'!J:J)</f>
        <v>5763753.5473881876</v>
      </c>
      <c r="P463" s="1">
        <v>45000</v>
      </c>
      <c r="Q463" s="1">
        <f>_xlfn.XLOOKUP($C463,'Plaza SP Tar'!$C:$C,'Plaza SP Tar'!K:K)</f>
        <v>6175450.2293444872</v>
      </c>
      <c r="R463">
        <v>50000</v>
      </c>
    </row>
    <row r="464" spans="1:18" x14ac:dyDescent="0.25">
      <c r="A464" t="s">
        <v>451</v>
      </c>
      <c r="B464" t="s">
        <v>497</v>
      </c>
      <c r="C464" t="s">
        <v>504</v>
      </c>
      <c r="D464" s="1">
        <v>4479755</v>
      </c>
      <c r="E464" s="1">
        <f>_xlfn.XLOOKUP($C464,'Plaza SP Tar'!$C:$C,'Plaza SP Tar'!E:E)</f>
        <v>4889795.9612725107</v>
      </c>
      <c r="F464" s="1">
        <v>10000</v>
      </c>
      <c r="G464" s="1">
        <f>_xlfn.XLOOKUP($C464,'Plaza SP Tar'!$C:$C,'Plaza SP Tar'!F:F)</f>
        <v>5588338.2414542977</v>
      </c>
      <c r="H464" s="1">
        <v>18000</v>
      </c>
      <c r="I464" s="1">
        <f>_xlfn.XLOOKUP($C464,'Plaza SP Tar'!$C:$C,'Plaza SP Tar'!G:G)</f>
        <v>6147172.0655997274</v>
      </c>
      <c r="J464" s="1">
        <v>25000</v>
      </c>
      <c r="K464" s="1">
        <f>_xlfn.XLOOKUP($C464,'Plaza SP Tar'!$C:$C,'Plaza SP Tar'!H:H)</f>
        <v>6706005.8897451572</v>
      </c>
      <c r="L464" s="1">
        <v>30000</v>
      </c>
      <c r="M464" s="1">
        <f>_xlfn.XLOOKUP($C464,'Plaza SP Tar'!$C:$C,'Plaza SP Tar'!I:I)</f>
        <v>7264839.713890587</v>
      </c>
      <c r="N464" s="1">
        <v>40000</v>
      </c>
      <c r="O464" s="1">
        <f>_xlfn.XLOOKUP($C464,'Plaza SP Tar'!$C:$C,'Plaza SP Tar'!J:J)</f>
        <v>7823673.5380360167</v>
      </c>
      <c r="P464" s="1">
        <v>45000</v>
      </c>
      <c r="Q464" s="1">
        <f>_xlfn.XLOOKUP($C464,'Plaza SP Tar'!$C:$C,'Plaza SP Tar'!K:K)</f>
        <v>8382507.3621814465</v>
      </c>
      <c r="R464">
        <v>50000</v>
      </c>
    </row>
    <row r="465" spans="1:18" x14ac:dyDescent="0.25">
      <c r="A465" t="s">
        <v>451</v>
      </c>
      <c r="B465" t="s">
        <v>497</v>
      </c>
      <c r="C465" t="s">
        <v>505</v>
      </c>
      <c r="D465" s="1">
        <v>2734958</v>
      </c>
      <c r="E465" s="1">
        <f>_xlfn.XLOOKUP($C465,'Plaza SP Tar'!$C:$C,'Plaza SP Tar'!E:E)</f>
        <v>2985294.1919033392</v>
      </c>
      <c r="F465" s="1">
        <v>10000</v>
      </c>
      <c r="G465" s="1">
        <f>_xlfn.XLOOKUP($C465,'Plaza SP Tar'!$C:$C,'Plaza SP Tar'!F:F)</f>
        <v>3411764.7907466735</v>
      </c>
      <c r="H465" s="1">
        <v>18000</v>
      </c>
      <c r="I465" s="1">
        <f>_xlfn.XLOOKUP($C465,'Plaza SP Tar'!$C:$C,'Plaza SP Tar'!G:G)</f>
        <v>3752941.2698213402</v>
      </c>
      <c r="J465" s="1">
        <v>25000</v>
      </c>
      <c r="K465" s="1">
        <f>_xlfn.XLOOKUP($C465,'Plaza SP Tar'!$C:$C,'Plaza SP Tar'!H:H)</f>
        <v>4094117.7488960079</v>
      </c>
      <c r="L465" s="1">
        <v>30000</v>
      </c>
      <c r="M465" s="1">
        <f>_xlfn.XLOOKUP($C465,'Plaza SP Tar'!$C:$C,'Plaza SP Tar'!I:I)</f>
        <v>4435294.2279706756</v>
      </c>
      <c r="N465" s="1">
        <v>40000</v>
      </c>
      <c r="O465" s="1">
        <f>_xlfn.XLOOKUP($C465,'Plaza SP Tar'!$C:$C,'Plaza SP Tar'!J:J)</f>
        <v>4776470.7070453428</v>
      </c>
      <c r="P465" s="1">
        <v>45000</v>
      </c>
      <c r="Q465" s="1">
        <f>_xlfn.XLOOKUP($C465,'Plaza SP Tar'!$C:$C,'Plaza SP Tar'!K:K)</f>
        <v>5117647.18612001</v>
      </c>
      <c r="R465">
        <v>50000</v>
      </c>
    </row>
    <row r="466" spans="1:18" x14ac:dyDescent="0.25">
      <c r="A466" t="s">
        <v>451</v>
      </c>
      <c r="B466" t="s">
        <v>497</v>
      </c>
      <c r="C466" t="s">
        <v>506</v>
      </c>
      <c r="D466" s="1">
        <v>3067333</v>
      </c>
      <c r="E466" s="1">
        <f>_xlfn.XLOOKUP($C466,'Plaza SP Tar'!$C:$C,'Plaza SP Tar'!E:E)</f>
        <v>3348092.142377852</v>
      </c>
      <c r="F466" s="1">
        <v>10000</v>
      </c>
      <c r="G466" s="1">
        <f>_xlfn.XLOOKUP($C466,'Plaza SP Tar'!$C:$C,'Plaza SP Tar'!F:F)</f>
        <v>3826391.0198604022</v>
      </c>
      <c r="H466" s="1">
        <v>18000</v>
      </c>
      <c r="I466" s="1">
        <f>_xlfn.XLOOKUP($C466,'Plaza SP Tar'!$C:$C,'Plaza SP Tar'!G:G)</f>
        <v>4209030.1218464421</v>
      </c>
      <c r="J466" s="1">
        <v>25000</v>
      </c>
      <c r="K466" s="1">
        <f>_xlfn.XLOOKUP($C466,'Plaza SP Tar'!$C:$C,'Plaza SP Tar'!H:H)</f>
        <v>4591669.2238324825</v>
      </c>
      <c r="L466" s="1">
        <v>30000</v>
      </c>
      <c r="M466" s="1">
        <f>_xlfn.XLOOKUP($C466,'Plaza SP Tar'!$C:$C,'Plaza SP Tar'!I:I)</f>
        <v>4974308.3258185228</v>
      </c>
      <c r="N466" s="1">
        <v>40000</v>
      </c>
      <c r="O466" s="1">
        <f>_xlfn.XLOOKUP($C466,'Plaza SP Tar'!$C:$C,'Plaza SP Tar'!J:J)</f>
        <v>5356947.4278045623</v>
      </c>
      <c r="P466" s="1">
        <v>45000</v>
      </c>
      <c r="Q466" s="1">
        <f>_xlfn.XLOOKUP($C466,'Plaza SP Tar'!$C:$C,'Plaza SP Tar'!K:K)</f>
        <v>5739586.5297906036</v>
      </c>
      <c r="R466">
        <v>50000</v>
      </c>
    </row>
    <row r="467" spans="1:18" x14ac:dyDescent="0.25">
      <c r="A467" t="s">
        <v>451</v>
      </c>
      <c r="B467" t="s">
        <v>497</v>
      </c>
      <c r="C467" t="s">
        <v>507</v>
      </c>
      <c r="D467" s="1">
        <v>2461320</v>
      </c>
      <c r="E467" s="1">
        <f>_xlfn.XLOOKUP($C467,'Plaza SP Tar'!$C:$C,'Plaza SP Tar'!E:E)</f>
        <v>2686609.5568617606</v>
      </c>
      <c r="F467" s="1">
        <v>10000</v>
      </c>
      <c r="G467" s="1">
        <f>_xlfn.XLOOKUP($C467,'Plaza SP Tar'!$C:$C,'Plaza SP Tar'!F:F)</f>
        <v>3070410.9221277265</v>
      </c>
      <c r="H467" s="1">
        <v>18000</v>
      </c>
      <c r="I467" s="1">
        <f>_xlfn.XLOOKUP($C467,'Plaza SP Tar'!$C:$C,'Plaza SP Tar'!G:G)</f>
        <v>3377452.0143404985</v>
      </c>
      <c r="J467" s="1">
        <v>25000</v>
      </c>
      <c r="K467" s="1">
        <f>_xlfn.XLOOKUP($C467,'Plaza SP Tar'!$C:$C,'Plaza SP Tar'!H:H)</f>
        <v>3684493.1065532714</v>
      </c>
      <c r="L467" s="1">
        <v>30000</v>
      </c>
      <c r="M467" s="1">
        <f>_xlfn.XLOOKUP($C467,'Plaza SP Tar'!$C:$C,'Plaza SP Tar'!I:I)</f>
        <v>3991534.1987660443</v>
      </c>
      <c r="N467" s="1">
        <v>40000</v>
      </c>
      <c r="O467" s="1">
        <f>_xlfn.XLOOKUP($C467,'Plaza SP Tar'!$C:$C,'Plaza SP Tar'!J:J)</f>
        <v>4298575.2909788163</v>
      </c>
      <c r="P467" s="1">
        <v>45000</v>
      </c>
      <c r="Q467" s="1">
        <f>_xlfn.XLOOKUP($C467,'Plaza SP Tar'!$C:$C,'Plaza SP Tar'!K:K)</f>
        <v>4605616.3831915893</v>
      </c>
      <c r="R467">
        <v>50000</v>
      </c>
    </row>
    <row r="468" spans="1:18" x14ac:dyDescent="0.25">
      <c r="A468" t="s">
        <v>451</v>
      </c>
      <c r="B468" t="s">
        <v>497</v>
      </c>
      <c r="C468" t="s">
        <v>508</v>
      </c>
      <c r="D468" s="1">
        <v>1783636</v>
      </c>
      <c r="E468" s="1">
        <f>_xlfn.XLOOKUP($C468,'Plaza SP Tar'!$C:$C,'Plaza SP Tar'!E:E)</f>
        <v>1946895.7809478992</v>
      </c>
      <c r="F468" s="1">
        <v>10000</v>
      </c>
      <c r="G468" s="1">
        <f>_xlfn.XLOOKUP($C468,'Plaza SP Tar'!$C:$C,'Plaza SP Tar'!F:F)</f>
        <v>2225023.749654742</v>
      </c>
      <c r="H468" s="1">
        <v>18000</v>
      </c>
      <c r="I468" s="1">
        <f>_xlfn.XLOOKUP($C468,'Plaza SP Tar'!$C:$C,'Plaza SP Tar'!G:G)</f>
        <v>2447526.124620216</v>
      </c>
      <c r="J468" s="1">
        <v>25000</v>
      </c>
      <c r="K468" s="1">
        <f>_xlfn.XLOOKUP($C468,'Plaza SP Tar'!$C:$C,'Plaza SP Tar'!H:H)</f>
        <v>2670028.49958569</v>
      </c>
      <c r="L468" s="1">
        <v>30000</v>
      </c>
      <c r="M468" s="1">
        <f>_xlfn.XLOOKUP($C468,'Plaza SP Tar'!$C:$C,'Plaza SP Tar'!I:I)</f>
        <v>2892530.8745511645</v>
      </c>
      <c r="N468" s="1">
        <v>40000</v>
      </c>
      <c r="O468" s="1">
        <f>_xlfn.XLOOKUP($C468,'Plaza SP Tar'!$C:$C,'Plaza SP Tar'!J:J)</f>
        <v>3115033.2495166385</v>
      </c>
      <c r="P468" s="1">
        <v>45000</v>
      </c>
      <c r="Q468" s="1">
        <f>_xlfn.XLOOKUP($C468,'Plaza SP Tar'!$C:$C,'Plaza SP Tar'!K:K)</f>
        <v>3337535.6244821125</v>
      </c>
      <c r="R468">
        <v>50000</v>
      </c>
    </row>
    <row r="469" spans="1:18" x14ac:dyDescent="0.25">
      <c r="A469" t="s">
        <v>451</v>
      </c>
      <c r="B469" t="s">
        <v>497</v>
      </c>
      <c r="C469" t="s">
        <v>509</v>
      </c>
      <c r="D469" s="1">
        <v>5412888</v>
      </c>
      <c r="E469" s="1">
        <f>_xlfn.XLOOKUP($C469,'Plaza SP Tar'!$C:$C,'Plaza SP Tar'!E:E)</f>
        <v>5908340.4965718975</v>
      </c>
      <c r="F469" s="1">
        <v>10000</v>
      </c>
      <c r="G469" s="1">
        <f>_xlfn.XLOOKUP($C469,'Plaza SP Tar'!$C:$C,'Plaza SP Tar'!F:F)</f>
        <v>6752389.1389393108</v>
      </c>
      <c r="H469" s="1">
        <v>18000</v>
      </c>
      <c r="I469" s="1">
        <f>_xlfn.XLOOKUP($C469,'Plaza SP Tar'!$C:$C,'Plaza SP Tar'!G:G)</f>
        <v>7427628.0528332414</v>
      </c>
      <c r="J469" s="1">
        <v>25000</v>
      </c>
      <c r="K469" s="1">
        <f>_xlfn.XLOOKUP($C469,'Plaza SP Tar'!$C:$C,'Plaza SP Tar'!H:H)</f>
        <v>8102866.966727173</v>
      </c>
      <c r="L469" s="1">
        <v>30000</v>
      </c>
      <c r="M469" s="1">
        <f>_xlfn.XLOOKUP($C469,'Plaza SP Tar'!$C:$C,'Plaza SP Tar'!I:I)</f>
        <v>8778105.8806211036</v>
      </c>
      <c r="N469" s="1">
        <v>40000</v>
      </c>
      <c r="O469" s="1">
        <f>_xlfn.XLOOKUP($C469,'Plaza SP Tar'!$C:$C,'Plaza SP Tar'!J:J)</f>
        <v>9453344.7945150342</v>
      </c>
      <c r="P469" s="1">
        <v>45000</v>
      </c>
      <c r="Q469" s="1">
        <f>_xlfn.XLOOKUP($C469,'Plaza SP Tar'!$C:$C,'Plaza SP Tar'!K:K)</f>
        <v>10128583.708408967</v>
      </c>
      <c r="R469">
        <v>50000</v>
      </c>
    </row>
    <row r="470" spans="1:18" x14ac:dyDescent="0.25">
      <c r="A470" t="s">
        <v>451</v>
      </c>
      <c r="B470" t="s">
        <v>497</v>
      </c>
      <c r="C470" t="s">
        <v>510</v>
      </c>
      <c r="D470" s="1">
        <v>2990905</v>
      </c>
      <c r="E470" s="1">
        <f>_xlfn.XLOOKUP($C470,'Plaza SP Tar'!$C:$C,'Plaza SP Tar'!E:E)</f>
        <v>3264668.5342278224</v>
      </c>
      <c r="F470" s="1">
        <v>10000</v>
      </c>
      <c r="G470" s="1">
        <f>_xlfn.XLOOKUP($C470,'Plaza SP Tar'!$C:$C,'Plaza SP Tar'!F:F)</f>
        <v>3731049.7534032259</v>
      </c>
      <c r="H470" s="1">
        <v>18000</v>
      </c>
      <c r="I470" s="1">
        <f>_xlfn.XLOOKUP($C470,'Plaza SP Tar'!$C:$C,'Plaza SP Tar'!G:G)</f>
        <v>4104154.728743548</v>
      </c>
      <c r="J470" s="1">
        <v>25000</v>
      </c>
      <c r="K470" s="1">
        <f>_xlfn.XLOOKUP($C470,'Plaza SP Tar'!$C:$C,'Plaza SP Tar'!H:H)</f>
        <v>4477259.7040838702</v>
      </c>
      <c r="L470" s="1">
        <v>30000</v>
      </c>
      <c r="M470" s="1">
        <f>_xlfn.XLOOKUP($C470,'Plaza SP Tar'!$C:$C,'Plaza SP Tar'!I:I)</f>
        <v>4850364.6794241937</v>
      </c>
      <c r="N470" s="1">
        <v>40000</v>
      </c>
      <c r="O470" s="1">
        <f>_xlfn.XLOOKUP($C470,'Plaza SP Tar'!$C:$C,'Plaza SP Tar'!J:J)</f>
        <v>5223469.6547645153</v>
      </c>
      <c r="P470" s="1">
        <v>45000</v>
      </c>
      <c r="Q470" s="1">
        <f>_xlfn.XLOOKUP($C470,'Plaza SP Tar'!$C:$C,'Plaza SP Tar'!K:K)</f>
        <v>5596574.6301048379</v>
      </c>
      <c r="R470">
        <v>50000</v>
      </c>
    </row>
    <row r="471" spans="1:18" x14ac:dyDescent="0.25">
      <c r="A471" t="s">
        <v>451</v>
      </c>
      <c r="B471" t="s">
        <v>497</v>
      </c>
      <c r="C471" t="s">
        <v>511</v>
      </c>
      <c r="D471" s="1">
        <v>1700001</v>
      </c>
      <c r="E471" s="1">
        <f>_xlfn.XLOOKUP($C471,'Plaza SP Tar'!$C:$C,'Plaza SP Tar'!E:E)</f>
        <v>1855605.5016310557</v>
      </c>
      <c r="F471" s="1">
        <v>10000</v>
      </c>
      <c r="G471" s="1">
        <f>_xlfn.XLOOKUP($C471,'Plaza SP Tar'!$C:$C,'Plaza SP Tar'!F:F)</f>
        <v>2120692.0018640636</v>
      </c>
      <c r="H471" s="1">
        <v>18000</v>
      </c>
      <c r="I471" s="1">
        <f>_xlfn.XLOOKUP($C471,'Plaza SP Tar'!$C:$C,'Plaza SP Tar'!G:G)</f>
        <v>2332761.2020504698</v>
      </c>
      <c r="J471" s="1">
        <v>25000</v>
      </c>
      <c r="K471" s="1">
        <f>_xlfn.XLOOKUP($C471,'Plaza SP Tar'!$C:$C,'Plaza SP Tar'!H:H)</f>
        <v>2544830.4022368761</v>
      </c>
      <c r="L471" s="1">
        <v>30000</v>
      </c>
      <c r="M471" s="1">
        <f>_xlfn.XLOOKUP($C471,'Plaza SP Tar'!$C:$C,'Plaza SP Tar'!I:I)</f>
        <v>2756899.6024232828</v>
      </c>
      <c r="N471" s="1">
        <v>40000</v>
      </c>
      <c r="O471" s="1">
        <f>_xlfn.XLOOKUP($C471,'Plaza SP Tar'!$C:$C,'Plaza SP Tar'!J:J)</f>
        <v>2968968.8026096886</v>
      </c>
      <c r="P471" s="1">
        <v>45000</v>
      </c>
      <c r="Q471" s="1">
        <f>_xlfn.XLOOKUP($C471,'Plaza SP Tar'!$C:$C,'Plaza SP Tar'!K:K)</f>
        <v>3181038.0027960953</v>
      </c>
      <c r="R471">
        <v>50000</v>
      </c>
    </row>
    <row r="472" spans="1:18" x14ac:dyDescent="0.25">
      <c r="A472" t="s">
        <v>451</v>
      </c>
      <c r="B472" t="s">
        <v>512</v>
      </c>
      <c r="C472" t="s">
        <v>513</v>
      </c>
      <c r="D472" s="1">
        <v>2938079</v>
      </c>
      <c r="E472" s="1">
        <f>_xlfn.XLOOKUP($C472,'Plaza SP Tar'!$C:$C,'Plaza SP Tar'!E:E)</f>
        <v>3207007.2644820036</v>
      </c>
      <c r="F472" s="1">
        <v>10000</v>
      </c>
      <c r="G472" s="1">
        <f>_xlfn.XLOOKUP($C472,'Plaza SP Tar'!$C:$C,'Plaza SP Tar'!F:F)</f>
        <v>3665151.159408004</v>
      </c>
      <c r="H472" s="1">
        <v>18000</v>
      </c>
      <c r="I472" s="1">
        <f>_xlfn.XLOOKUP($C472,'Plaza SP Tar'!$C:$C,'Plaza SP Tar'!G:G)</f>
        <v>4031666.275348804</v>
      </c>
      <c r="J472" s="1">
        <v>25000</v>
      </c>
      <c r="K472" s="1">
        <f>_xlfn.XLOOKUP($C472,'Plaza SP Tar'!$C:$C,'Plaza SP Tar'!H:H)</f>
        <v>4398181.3912896048</v>
      </c>
      <c r="L472" s="1">
        <v>30000</v>
      </c>
      <c r="M472" s="1">
        <f>_xlfn.XLOOKUP($C472,'Plaza SP Tar'!$C:$C,'Plaza SP Tar'!I:I)</f>
        <v>4764696.5072304048</v>
      </c>
      <c r="N472" s="1">
        <v>40000</v>
      </c>
      <c r="O472" s="1">
        <f>_xlfn.XLOOKUP($C472,'Plaza SP Tar'!$C:$C,'Plaza SP Tar'!J:J)</f>
        <v>5131211.6231712047</v>
      </c>
      <c r="P472" s="1">
        <v>45000</v>
      </c>
      <c r="Q472" s="1">
        <f>_xlfn.XLOOKUP($C472,'Plaza SP Tar'!$C:$C,'Plaza SP Tar'!K:K)</f>
        <v>5497726.7391120056</v>
      </c>
      <c r="R472">
        <v>50000</v>
      </c>
    </row>
    <row r="473" spans="1:18" x14ac:dyDescent="0.25">
      <c r="A473" t="s">
        <v>451</v>
      </c>
      <c r="B473" t="s">
        <v>512</v>
      </c>
      <c r="C473" t="s">
        <v>514</v>
      </c>
      <c r="D473" s="1">
        <v>4803275</v>
      </c>
      <c r="E473" s="1">
        <f>_xlfn.XLOOKUP($C473,'Plaza SP Tar'!$C:$C,'Plaza SP Tar'!E:E)</f>
        <v>5242928.3958344199</v>
      </c>
      <c r="F473" s="1">
        <v>10000</v>
      </c>
      <c r="G473" s="1">
        <f>_xlfn.XLOOKUP($C473,'Plaza SP Tar'!$C:$C,'Plaza SP Tar'!F:F)</f>
        <v>5991918.1666679075</v>
      </c>
      <c r="H473" s="1">
        <v>18000</v>
      </c>
      <c r="I473" s="1">
        <f>_xlfn.XLOOKUP($C473,'Plaza SP Tar'!$C:$C,'Plaza SP Tar'!G:G)</f>
        <v>6591109.9833346978</v>
      </c>
      <c r="J473" s="1">
        <v>25000</v>
      </c>
      <c r="K473" s="1">
        <f>_xlfn.XLOOKUP($C473,'Plaza SP Tar'!$C:$C,'Plaza SP Tar'!H:H)</f>
        <v>7190301.800001489</v>
      </c>
      <c r="L473" s="1">
        <v>30000</v>
      </c>
      <c r="M473" s="1">
        <f>_xlfn.XLOOKUP($C473,'Plaza SP Tar'!$C:$C,'Plaza SP Tar'!I:I)</f>
        <v>7789493.6166682802</v>
      </c>
      <c r="N473" s="1">
        <v>40000</v>
      </c>
      <c r="O473" s="1">
        <f>_xlfn.XLOOKUP($C473,'Plaza SP Tar'!$C:$C,'Plaza SP Tar'!J:J)</f>
        <v>8388685.4333350696</v>
      </c>
      <c r="P473" s="1">
        <v>45000</v>
      </c>
      <c r="Q473" s="1">
        <f>_xlfn.XLOOKUP($C473,'Plaza SP Tar'!$C:$C,'Plaza SP Tar'!K:K)</f>
        <v>8987877.2500018608</v>
      </c>
      <c r="R473">
        <v>50000</v>
      </c>
    </row>
    <row r="474" spans="1:18" x14ac:dyDescent="0.25">
      <c r="A474" t="s">
        <v>451</v>
      </c>
      <c r="B474" t="s">
        <v>512</v>
      </c>
      <c r="C474" t="s">
        <v>515</v>
      </c>
      <c r="D474" s="1">
        <v>5634416</v>
      </c>
      <c r="E474" s="1">
        <f>_xlfn.XLOOKUP($C474,'Plaza SP Tar'!$C:$C,'Plaza SP Tar'!E:E)</f>
        <v>6150145.3987839101</v>
      </c>
      <c r="F474" s="1">
        <v>10000</v>
      </c>
      <c r="G474" s="1">
        <f>_xlfn.XLOOKUP($C474,'Plaza SP Tar'!$C:$C,'Plaza SP Tar'!F:F)</f>
        <v>7028737.5986101832</v>
      </c>
      <c r="H474" s="1">
        <v>18000</v>
      </c>
      <c r="I474" s="1">
        <f>_xlfn.XLOOKUP($C474,'Plaza SP Tar'!$C:$C,'Plaza SP Tar'!G:G)</f>
        <v>7731611.3584712008</v>
      </c>
      <c r="J474" s="1">
        <v>25000</v>
      </c>
      <c r="K474" s="1">
        <f>_xlfn.XLOOKUP($C474,'Plaza SP Tar'!$C:$C,'Plaza SP Tar'!H:H)</f>
        <v>8434485.1183322184</v>
      </c>
      <c r="L474" s="1">
        <v>30000</v>
      </c>
      <c r="M474" s="1">
        <f>_xlfn.XLOOKUP($C474,'Plaza SP Tar'!$C:$C,'Plaza SP Tar'!I:I)</f>
        <v>9137358.8781932369</v>
      </c>
      <c r="N474" s="1">
        <v>40000</v>
      </c>
      <c r="O474" s="1">
        <f>_xlfn.XLOOKUP($C474,'Plaza SP Tar'!$C:$C,'Plaza SP Tar'!J:J)</f>
        <v>9840232.6380542554</v>
      </c>
      <c r="P474" s="1">
        <v>45000</v>
      </c>
      <c r="Q474" s="1">
        <f>_xlfn.XLOOKUP($C474,'Plaza SP Tar'!$C:$C,'Plaza SP Tar'!K:K)</f>
        <v>10543106.397915274</v>
      </c>
      <c r="R474">
        <v>50000</v>
      </c>
    </row>
    <row r="475" spans="1:18" x14ac:dyDescent="0.25">
      <c r="A475" t="s">
        <v>451</v>
      </c>
      <c r="B475" t="s">
        <v>512</v>
      </c>
      <c r="C475" t="s">
        <v>516</v>
      </c>
      <c r="D475" s="1">
        <v>2206633</v>
      </c>
      <c r="E475" s="1">
        <f>_xlfn.XLOOKUP($C475,'Plaza SP Tar'!$C:$C,'Plaza SP Tar'!E:E)</f>
        <v>2408610.5448647626</v>
      </c>
      <c r="F475" s="1">
        <v>10000</v>
      </c>
      <c r="G475" s="1">
        <f>_xlfn.XLOOKUP($C475,'Plaza SP Tar'!$C:$C,'Plaza SP Tar'!F:F)</f>
        <v>2752697.7655597287</v>
      </c>
      <c r="H475" s="1">
        <v>18000</v>
      </c>
      <c r="I475" s="1">
        <f>_xlfn.XLOOKUP($C475,'Plaza SP Tar'!$C:$C,'Plaza SP Tar'!G:G)</f>
        <v>3027967.5421157014</v>
      </c>
      <c r="J475" s="1">
        <v>25000</v>
      </c>
      <c r="K475" s="1">
        <f>_xlfn.XLOOKUP($C475,'Plaza SP Tar'!$C:$C,'Plaza SP Tar'!H:H)</f>
        <v>3303237.318671674</v>
      </c>
      <c r="L475" s="1">
        <v>30000</v>
      </c>
      <c r="M475" s="1">
        <f>_xlfn.XLOOKUP($C475,'Plaza SP Tar'!$C:$C,'Plaza SP Tar'!I:I)</f>
        <v>3578507.0952276471</v>
      </c>
      <c r="N475" s="1">
        <v>40000</v>
      </c>
      <c r="O475" s="1">
        <f>_xlfn.XLOOKUP($C475,'Plaza SP Tar'!$C:$C,'Plaza SP Tar'!J:J)</f>
        <v>3853776.8717836197</v>
      </c>
      <c r="P475" s="1">
        <v>45000</v>
      </c>
      <c r="Q475" s="1">
        <f>_xlfn.XLOOKUP($C475,'Plaza SP Tar'!$C:$C,'Plaza SP Tar'!K:K)</f>
        <v>4129046.6483395929</v>
      </c>
      <c r="R475">
        <v>50000</v>
      </c>
    </row>
    <row r="476" spans="1:18" x14ac:dyDescent="0.25">
      <c r="A476" t="s">
        <v>451</v>
      </c>
      <c r="B476" t="s">
        <v>512</v>
      </c>
      <c r="C476" t="s">
        <v>517</v>
      </c>
      <c r="D476" s="1">
        <v>2994677</v>
      </c>
      <c r="E476" s="1">
        <f>_xlfn.XLOOKUP($C476,'Plaza SP Tar'!$C:$C,'Plaza SP Tar'!E:E)</f>
        <v>3268785.7929542307</v>
      </c>
      <c r="F476" s="1">
        <v>10000</v>
      </c>
      <c r="G476" s="1">
        <f>_xlfn.XLOOKUP($C476,'Plaza SP Tar'!$C:$C,'Plaza SP Tar'!F:F)</f>
        <v>3735755.1919476921</v>
      </c>
      <c r="H476" s="1">
        <v>18000</v>
      </c>
      <c r="I476" s="1">
        <f>_xlfn.XLOOKUP($C476,'Plaza SP Tar'!$C:$C,'Plaza SP Tar'!G:G)</f>
        <v>4109330.7111424608</v>
      </c>
      <c r="J476" s="1">
        <v>25000</v>
      </c>
      <c r="K476" s="1">
        <f>_xlfn.XLOOKUP($C476,'Plaza SP Tar'!$C:$C,'Plaza SP Tar'!H:H)</f>
        <v>4482906.2303372305</v>
      </c>
      <c r="L476" s="1">
        <v>30000</v>
      </c>
      <c r="M476" s="1">
        <f>_xlfn.XLOOKUP($C476,'Plaza SP Tar'!$C:$C,'Plaza SP Tar'!I:I)</f>
        <v>4856481.7495319992</v>
      </c>
      <c r="N476" s="1">
        <v>40000</v>
      </c>
      <c r="O476" s="1">
        <f>_xlfn.XLOOKUP($C476,'Plaza SP Tar'!$C:$C,'Plaza SP Tar'!J:J)</f>
        <v>5230057.268726768</v>
      </c>
      <c r="P476" s="1">
        <v>45000</v>
      </c>
      <c r="Q476" s="1">
        <f>_xlfn.XLOOKUP($C476,'Plaza SP Tar'!$C:$C,'Plaza SP Tar'!K:K)</f>
        <v>5603632.7879215376</v>
      </c>
      <c r="R476">
        <v>50000</v>
      </c>
    </row>
    <row r="477" spans="1:18" x14ac:dyDescent="0.25">
      <c r="A477" t="s">
        <v>451</v>
      </c>
      <c r="B477" t="s">
        <v>512</v>
      </c>
      <c r="C477" t="s">
        <v>518</v>
      </c>
      <c r="D477" s="1">
        <v>3298455</v>
      </c>
      <c r="E477" s="1">
        <f>_xlfn.XLOOKUP($C477,'Plaza SP Tar'!$C:$C,'Plaza SP Tar'!E:E)</f>
        <v>3600369.2026548595</v>
      </c>
      <c r="F477" s="1">
        <v>10000</v>
      </c>
      <c r="G477" s="1">
        <f>_xlfn.XLOOKUP($C477,'Plaza SP Tar'!$C:$C,'Plaza SP Tar'!F:F)</f>
        <v>4114707.6601769822</v>
      </c>
      <c r="H477" s="1">
        <v>18000</v>
      </c>
      <c r="I477" s="1">
        <f>_xlfn.XLOOKUP($C477,'Plaza SP Tar'!$C:$C,'Plaza SP Tar'!G:G)</f>
        <v>4526178.4261946799</v>
      </c>
      <c r="J477" s="1">
        <v>25000</v>
      </c>
      <c r="K477" s="1">
        <f>_xlfn.XLOOKUP($C477,'Plaza SP Tar'!$C:$C,'Plaza SP Tar'!H:H)</f>
        <v>4937649.1922123786</v>
      </c>
      <c r="L477" s="1">
        <v>30000</v>
      </c>
      <c r="M477" s="1">
        <f>_xlfn.XLOOKUP($C477,'Plaza SP Tar'!$C:$C,'Plaza SP Tar'!I:I)</f>
        <v>5349119.9582300764</v>
      </c>
      <c r="N477" s="1">
        <v>40000</v>
      </c>
      <c r="O477" s="1">
        <f>_xlfn.XLOOKUP($C477,'Plaza SP Tar'!$C:$C,'Plaza SP Tar'!J:J)</f>
        <v>5760590.7242477741</v>
      </c>
      <c r="P477" s="1">
        <v>45000</v>
      </c>
      <c r="Q477" s="1">
        <f>_xlfn.XLOOKUP($C477,'Plaza SP Tar'!$C:$C,'Plaza SP Tar'!K:K)</f>
        <v>6172061.4902654728</v>
      </c>
      <c r="R477">
        <v>50000</v>
      </c>
    </row>
    <row r="478" spans="1:18" x14ac:dyDescent="0.25">
      <c r="A478" t="s">
        <v>451</v>
      </c>
      <c r="B478" t="s">
        <v>512</v>
      </c>
      <c r="C478" t="s">
        <v>519</v>
      </c>
      <c r="D478" s="1">
        <v>1734325</v>
      </c>
      <c r="E478" s="1">
        <f>_xlfn.XLOOKUP($C478,'Plaza SP Tar'!$C:$C,'Plaza SP Tar'!E:E)</f>
        <v>1893071.2462029615</v>
      </c>
      <c r="F478" s="1">
        <v>10000</v>
      </c>
      <c r="G478" s="1">
        <f>_xlfn.XLOOKUP($C478,'Plaza SP Tar'!$C:$C,'Plaza SP Tar'!F:F)</f>
        <v>2163509.9956605271</v>
      </c>
      <c r="H478" s="1">
        <v>18000</v>
      </c>
      <c r="I478" s="1">
        <f>_xlfn.XLOOKUP($C478,'Plaza SP Tar'!$C:$C,'Plaza SP Tar'!G:G)</f>
        <v>2379860.9952265797</v>
      </c>
      <c r="J478" s="1">
        <v>25000</v>
      </c>
      <c r="K478" s="1">
        <f>_xlfn.XLOOKUP($C478,'Plaza SP Tar'!$C:$C,'Plaza SP Tar'!H:H)</f>
        <v>2596211.9947926328</v>
      </c>
      <c r="L478" s="1">
        <v>30000</v>
      </c>
      <c r="M478" s="1">
        <f>_xlfn.XLOOKUP($C478,'Plaza SP Tar'!$C:$C,'Plaza SP Tar'!I:I)</f>
        <v>2812562.9943586853</v>
      </c>
      <c r="N478" s="1">
        <v>40000</v>
      </c>
      <c r="O478" s="1">
        <f>_xlfn.XLOOKUP($C478,'Plaza SP Tar'!$C:$C,'Plaza SP Tar'!J:J)</f>
        <v>3028913.9939247379</v>
      </c>
      <c r="P478" s="1">
        <v>45000</v>
      </c>
      <c r="Q478" s="1">
        <f>_xlfn.XLOOKUP($C478,'Plaza SP Tar'!$C:$C,'Plaza SP Tar'!K:K)</f>
        <v>3245264.9934907909</v>
      </c>
      <c r="R478">
        <v>50000</v>
      </c>
    </row>
    <row r="479" spans="1:18" x14ac:dyDescent="0.25">
      <c r="A479" t="s">
        <v>451</v>
      </c>
      <c r="B479" t="s">
        <v>512</v>
      </c>
      <c r="C479" t="s">
        <v>520</v>
      </c>
      <c r="D479" s="1">
        <v>3452852</v>
      </c>
      <c r="E479" s="1">
        <f>_xlfn.XLOOKUP($C479,'Plaza SP Tar'!$C:$C,'Plaza SP Tar'!E:E)</f>
        <v>3768898.469776073</v>
      </c>
      <c r="F479" s="1">
        <v>10000</v>
      </c>
      <c r="G479" s="1">
        <f>_xlfn.XLOOKUP($C479,'Plaza SP Tar'!$C:$C,'Plaza SP Tar'!F:F)</f>
        <v>4307312.5368869407</v>
      </c>
      <c r="H479" s="1">
        <v>18000</v>
      </c>
      <c r="I479" s="1">
        <f>_xlfn.XLOOKUP($C479,'Plaza SP Tar'!$C:$C,'Plaza SP Tar'!G:G)</f>
        <v>4738043.7905756338</v>
      </c>
      <c r="J479" s="1">
        <v>25000</v>
      </c>
      <c r="K479" s="1">
        <f>_xlfn.XLOOKUP($C479,'Plaza SP Tar'!$C:$C,'Plaza SP Tar'!H:H)</f>
        <v>5168775.0442643287</v>
      </c>
      <c r="L479" s="1">
        <v>30000</v>
      </c>
      <c r="M479" s="1">
        <f>_xlfn.XLOOKUP($C479,'Plaza SP Tar'!$C:$C,'Plaza SP Tar'!I:I)</f>
        <v>5599506.2979530226</v>
      </c>
      <c r="N479" s="1">
        <v>40000</v>
      </c>
      <c r="O479" s="1">
        <f>_xlfn.XLOOKUP($C479,'Plaza SP Tar'!$C:$C,'Plaza SP Tar'!J:J)</f>
        <v>6030237.5516417157</v>
      </c>
      <c r="P479" s="1">
        <v>45000</v>
      </c>
      <c r="Q479" s="1">
        <f>_xlfn.XLOOKUP($C479,'Plaza SP Tar'!$C:$C,'Plaza SP Tar'!K:K)</f>
        <v>6460968.8053304106</v>
      </c>
      <c r="R479">
        <v>50000</v>
      </c>
    </row>
    <row r="480" spans="1:18" x14ac:dyDescent="0.25">
      <c r="A480" t="s">
        <v>451</v>
      </c>
      <c r="B480" t="s">
        <v>512</v>
      </c>
      <c r="C480" t="s">
        <v>521</v>
      </c>
      <c r="D480" s="1">
        <v>6488789</v>
      </c>
      <c r="E480" s="1">
        <f>_xlfn.XLOOKUP($C480,'Plaza SP Tar'!$C:$C,'Plaza SP Tar'!E:E)</f>
        <v>7082720.8732954133</v>
      </c>
      <c r="F480" s="1">
        <v>10000</v>
      </c>
      <c r="G480" s="1">
        <f>_xlfn.XLOOKUP($C480,'Plaza SP Tar'!$C:$C,'Plaza SP Tar'!F:F)</f>
        <v>8094538.1409090441</v>
      </c>
      <c r="H480" s="1">
        <v>18000</v>
      </c>
      <c r="I480" s="1">
        <f>_xlfn.XLOOKUP($C480,'Plaza SP Tar'!$C:$C,'Plaza SP Tar'!G:G)</f>
        <v>8903991.9549999479</v>
      </c>
      <c r="J480" s="1">
        <v>25000</v>
      </c>
      <c r="K480" s="1">
        <f>_xlfn.XLOOKUP($C480,'Plaza SP Tar'!$C:$C,'Plaza SP Tar'!H:H)</f>
        <v>9713445.7690908518</v>
      </c>
      <c r="L480" s="1">
        <v>30000</v>
      </c>
      <c r="M480" s="1">
        <f>_xlfn.XLOOKUP($C480,'Plaza SP Tar'!$C:$C,'Plaza SP Tar'!I:I)</f>
        <v>10522899.583181757</v>
      </c>
      <c r="N480" s="1">
        <v>40000</v>
      </c>
      <c r="O480" s="1">
        <f>_xlfn.XLOOKUP($C480,'Plaza SP Tar'!$C:$C,'Plaza SP Tar'!J:J)</f>
        <v>11332353.397272659</v>
      </c>
      <c r="P480" s="1">
        <v>45000</v>
      </c>
      <c r="Q480" s="1">
        <f>_xlfn.XLOOKUP($C480,'Plaza SP Tar'!$C:$C,'Plaza SP Tar'!K:K)</f>
        <v>12141807.211363565</v>
      </c>
      <c r="R480">
        <v>50000</v>
      </c>
    </row>
    <row r="481" spans="1:18" x14ac:dyDescent="0.25">
      <c r="A481" t="s">
        <v>451</v>
      </c>
      <c r="B481" t="s">
        <v>512</v>
      </c>
      <c r="C481" t="s">
        <v>522</v>
      </c>
      <c r="D481" s="1">
        <v>4484989</v>
      </c>
      <c r="E481" s="1">
        <f>_xlfn.XLOOKUP($C481,'Plaza SP Tar'!$C:$C,'Plaza SP Tar'!E:E)</f>
        <v>4895509.0397916045</v>
      </c>
      <c r="F481" s="1">
        <v>10000</v>
      </c>
      <c r="G481" s="1">
        <f>_xlfn.XLOOKUP($C481,'Plaza SP Tar'!$C:$C,'Plaza SP Tar'!F:F)</f>
        <v>5594867.4740475472</v>
      </c>
      <c r="H481" s="1">
        <v>18000</v>
      </c>
      <c r="I481" s="1">
        <f>_xlfn.XLOOKUP($C481,'Plaza SP Tar'!$C:$C,'Plaza SP Tar'!G:G)</f>
        <v>6154354.2214523014</v>
      </c>
      <c r="J481" s="1">
        <v>25000</v>
      </c>
      <c r="K481" s="1">
        <f>_xlfn.XLOOKUP($C481,'Plaza SP Tar'!$C:$C,'Plaza SP Tar'!H:H)</f>
        <v>6713840.9688570565</v>
      </c>
      <c r="L481" s="1">
        <v>30000</v>
      </c>
      <c r="M481" s="1">
        <f>_xlfn.XLOOKUP($C481,'Plaza SP Tar'!$C:$C,'Plaza SP Tar'!I:I)</f>
        <v>7273327.7162618116</v>
      </c>
      <c r="N481" s="1">
        <v>40000</v>
      </c>
      <c r="O481" s="1">
        <f>_xlfn.XLOOKUP($C481,'Plaza SP Tar'!$C:$C,'Plaza SP Tar'!J:J)</f>
        <v>7832814.4636665657</v>
      </c>
      <c r="P481" s="1">
        <v>45000</v>
      </c>
      <c r="Q481" s="1">
        <f>_xlfn.XLOOKUP($C481,'Plaza SP Tar'!$C:$C,'Plaza SP Tar'!K:K)</f>
        <v>8392301.2110713199</v>
      </c>
      <c r="R481">
        <v>50000</v>
      </c>
    </row>
    <row r="482" spans="1:18" x14ac:dyDescent="0.25">
      <c r="A482" t="s">
        <v>451</v>
      </c>
      <c r="B482" t="s">
        <v>512</v>
      </c>
      <c r="C482" t="s">
        <v>523</v>
      </c>
      <c r="D482" s="1">
        <v>3430654</v>
      </c>
      <c r="E482" s="1">
        <f>_xlfn.XLOOKUP($C482,'Plaza SP Tar'!$C:$C,'Plaza SP Tar'!E:E)</f>
        <v>3744668.642308203</v>
      </c>
      <c r="F482" s="1">
        <v>10000</v>
      </c>
      <c r="G482" s="1">
        <f>_xlfn.XLOOKUP($C482,'Plaza SP Tar'!$C:$C,'Plaza SP Tar'!F:F)</f>
        <v>4279621.3054950889</v>
      </c>
      <c r="H482" s="1">
        <v>18000</v>
      </c>
      <c r="I482" s="1">
        <f>_xlfn.XLOOKUP($C482,'Plaza SP Tar'!$C:$C,'Plaza SP Tar'!G:G)</f>
        <v>4707583.436044598</v>
      </c>
      <c r="J482" s="1">
        <v>25000</v>
      </c>
      <c r="K482" s="1">
        <f>_xlfn.XLOOKUP($C482,'Plaza SP Tar'!$C:$C,'Plaza SP Tar'!H:H)</f>
        <v>5135545.5665941071</v>
      </c>
      <c r="L482" s="1">
        <v>30000</v>
      </c>
      <c r="M482" s="1">
        <f>_xlfn.XLOOKUP($C482,'Plaza SP Tar'!$C:$C,'Plaza SP Tar'!I:I)</f>
        <v>5563507.6971436162</v>
      </c>
      <c r="N482" s="1">
        <v>40000</v>
      </c>
      <c r="O482" s="1">
        <f>_xlfn.XLOOKUP($C482,'Plaza SP Tar'!$C:$C,'Plaza SP Tar'!J:J)</f>
        <v>5991469.8276931243</v>
      </c>
      <c r="P482" s="1">
        <v>45000</v>
      </c>
      <c r="Q482" s="1">
        <f>_xlfn.XLOOKUP($C482,'Plaza SP Tar'!$C:$C,'Plaza SP Tar'!K:K)</f>
        <v>6419431.9582426334</v>
      </c>
      <c r="R482">
        <v>50000</v>
      </c>
    </row>
    <row r="483" spans="1:18" x14ac:dyDescent="0.25">
      <c r="A483" t="s">
        <v>451</v>
      </c>
      <c r="B483" t="s">
        <v>512</v>
      </c>
      <c r="C483" t="s">
        <v>524</v>
      </c>
      <c r="D483" s="1">
        <v>1709368</v>
      </c>
      <c r="E483" s="1">
        <f>_xlfn.XLOOKUP($C483,'Plaza SP Tar'!$C:$C,'Plaza SP Tar'!E:E)</f>
        <v>1865829.8819307014</v>
      </c>
      <c r="F483" s="1">
        <v>10000</v>
      </c>
      <c r="G483" s="1">
        <f>_xlfn.XLOOKUP($C483,'Plaza SP Tar'!$C:$C,'Plaza SP Tar'!F:F)</f>
        <v>2132377.0079208016</v>
      </c>
      <c r="H483" s="1">
        <v>18000</v>
      </c>
      <c r="I483" s="1">
        <f>_xlfn.XLOOKUP($C483,'Plaza SP Tar'!$C:$C,'Plaza SP Tar'!G:G)</f>
        <v>2345614.7087128814</v>
      </c>
      <c r="J483" s="1">
        <v>25000</v>
      </c>
      <c r="K483" s="1">
        <f>_xlfn.XLOOKUP($C483,'Plaza SP Tar'!$C:$C,'Plaza SP Tar'!H:H)</f>
        <v>2558852.4095049617</v>
      </c>
      <c r="L483" s="1">
        <v>30000</v>
      </c>
      <c r="M483" s="1">
        <f>_xlfn.XLOOKUP($C483,'Plaza SP Tar'!$C:$C,'Plaza SP Tar'!I:I)</f>
        <v>2772090.1102970419</v>
      </c>
      <c r="N483" s="1">
        <v>40000</v>
      </c>
      <c r="O483" s="1">
        <f>_xlfn.XLOOKUP($C483,'Plaza SP Tar'!$C:$C,'Plaza SP Tar'!J:J)</f>
        <v>2985327.8110891217</v>
      </c>
      <c r="P483" s="1">
        <v>45000</v>
      </c>
      <c r="Q483" s="1">
        <f>_xlfn.XLOOKUP($C483,'Plaza SP Tar'!$C:$C,'Plaza SP Tar'!K:K)</f>
        <v>3198565.511881202</v>
      </c>
      <c r="R483">
        <v>50000</v>
      </c>
    </row>
    <row r="484" spans="1:18" x14ac:dyDescent="0.25">
      <c r="A484" t="s">
        <v>451</v>
      </c>
      <c r="B484" t="s">
        <v>512</v>
      </c>
      <c r="C484" t="s">
        <v>525</v>
      </c>
      <c r="D484" s="1">
        <v>6466796</v>
      </c>
      <c r="E484" s="1">
        <f>_xlfn.XLOOKUP($C484,'Plaza SP Tar'!$C:$C,'Plaza SP Tar'!E:E)</f>
        <v>7058714.8098887615</v>
      </c>
      <c r="F484" s="1">
        <v>10000</v>
      </c>
      <c r="G484" s="1">
        <f>_xlfn.XLOOKUP($C484,'Plaza SP Tar'!$C:$C,'Plaza SP Tar'!F:F)</f>
        <v>8067102.6398728704</v>
      </c>
      <c r="H484" s="1">
        <v>18000</v>
      </c>
      <c r="I484" s="1">
        <f>_xlfn.XLOOKUP($C484,'Plaza SP Tar'!$C:$C,'Plaza SP Tar'!G:G)</f>
        <v>8873812.9038601555</v>
      </c>
      <c r="J484" s="1">
        <v>25000</v>
      </c>
      <c r="K484" s="1">
        <f>_xlfn.XLOOKUP($C484,'Plaza SP Tar'!$C:$C,'Plaza SP Tar'!H:H)</f>
        <v>9680523.1678474434</v>
      </c>
      <c r="L484" s="1">
        <v>30000</v>
      </c>
      <c r="M484" s="1">
        <f>_xlfn.XLOOKUP($C484,'Plaza SP Tar'!$C:$C,'Plaza SP Tar'!I:I)</f>
        <v>10487233.431834731</v>
      </c>
      <c r="N484" s="1">
        <v>40000</v>
      </c>
      <c r="O484" s="1">
        <f>_xlfn.XLOOKUP($C484,'Plaza SP Tar'!$C:$C,'Plaza SP Tar'!J:J)</f>
        <v>11293943.695822017</v>
      </c>
      <c r="P484" s="1">
        <v>45000</v>
      </c>
      <c r="Q484" s="1">
        <f>_xlfn.XLOOKUP($C484,'Plaza SP Tar'!$C:$C,'Plaza SP Tar'!K:K)</f>
        <v>12100653.959809305</v>
      </c>
      <c r="R484">
        <v>50000</v>
      </c>
    </row>
    <row r="485" spans="1:18" x14ac:dyDescent="0.25">
      <c r="A485" t="s">
        <v>451</v>
      </c>
      <c r="B485" t="s">
        <v>512</v>
      </c>
      <c r="C485" t="s">
        <v>526</v>
      </c>
      <c r="D485" s="1">
        <v>4227898</v>
      </c>
      <c r="E485" s="1">
        <f>_xlfn.XLOOKUP($C485,'Plaza SP Tar'!$C:$C,'Plaza SP Tar'!E:E)</f>
        <v>4614885.9848523252</v>
      </c>
      <c r="F485" s="1">
        <v>10000</v>
      </c>
      <c r="G485" s="1">
        <f>_xlfn.XLOOKUP($C485,'Plaza SP Tar'!$C:$C,'Plaza SP Tar'!F:F)</f>
        <v>5274155.4112597993</v>
      </c>
      <c r="H485" s="1">
        <v>18000</v>
      </c>
      <c r="I485" s="1">
        <f>_xlfn.XLOOKUP($C485,'Plaza SP Tar'!$C:$C,'Plaza SP Tar'!G:G)</f>
        <v>5801570.9523857785</v>
      </c>
      <c r="J485" s="1">
        <v>25000</v>
      </c>
      <c r="K485" s="1">
        <f>_xlfn.XLOOKUP($C485,'Plaza SP Tar'!$C:$C,'Plaza SP Tar'!H:H)</f>
        <v>6328986.4935117597</v>
      </c>
      <c r="L485" s="1">
        <v>30000</v>
      </c>
      <c r="M485" s="1">
        <f>_xlfn.XLOOKUP($C485,'Plaza SP Tar'!$C:$C,'Plaza SP Tar'!I:I)</f>
        <v>6856402.0346377399</v>
      </c>
      <c r="N485" s="1">
        <v>40000</v>
      </c>
      <c r="O485" s="1">
        <f>_xlfn.XLOOKUP($C485,'Plaza SP Tar'!$C:$C,'Plaza SP Tar'!J:J)</f>
        <v>7383817.5757637192</v>
      </c>
      <c r="P485" s="1">
        <v>45000</v>
      </c>
      <c r="Q485" s="1">
        <f>_xlfn.XLOOKUP($C485,'Plaza SP Tar'!$C:$C,'Plaza SP Tar'!K:K)</f>
        <v>7911233.1168896994</v>
      </c>
      <c r="R485">
        <v>50000</v>
      </c>
    </row>
    <row r="486" spans="1:18" x14ac:dyDescent="0.25">
      <c r="A486" t="s">
        <v>451</v>
      </c>
      <c r="B486" t="s">
        <v>512</v>
      </c>
      <c r="C486" t="s">
        <v>527</v>
      </c>
      <c r="D486" s="1">
        <v>2716985</v>
      </c>
      <c r="E486" s="1">
        <f>_xlfn.XLOOKUP($C486,'Plaza SP Tar'!$C:$C,'Plaza SP Tar'!E:E)</f>
        <v>2965676.0871605687</v>
      </c>
      <c r="F486" s="1">
        <v>10000</v>
      </c>
      <c r="G486" s="1">
        <f>_xlfn.XLOOKUP($C486,'Plaza SP Tar'!$C:$C,'Plaza SP Tar'!F:F)</f>
        <v>3389344.0996120782</v>
      </c>
      <c r="H486" s="1">
        <v>18000</v>
      </c>
      <c r="I486" s="1">
        <f>_xlfn.XLOOKUP($C486,'Plaza SP Tar'!$C:$C,'Plaza SP Tar'!G:G)</f>
        <v>3728278.5095732859</v>
      </c>
      <c r="J486" s="1">
        <v>25000</v>
      </c>
      <c r="K486" s="1">
        <f>_xlfn.XLOOKUP($C486,'Plaza SP Tar'!$C:$C,'Plaza SP Tar'!H:H)</f>
        <v>4067212.9195344937</v>
      </c>
      <c r="L486" s="1">
        <v>30000</v>
      </c>
      <c r="M486" s="1">
        <f>_xlfn.XLOOKUP($C486,'Plaza SP Tar'!$C:$C,'Plaza SP Tar'!I:I)</f>
        <v>4406147.3294957019</v>
      </c>
      <c r="N486" s="1">
        <v>40000</v>
      </c>
      <c r="O486" s="1">
        <f>_xlfn.XLOOKUP($C486,'Plaza SP Tar'!$C:$C,'Plaza SP Tar'!J:J)</f>
        <v>4745081.7394569088</v>
      </c>
      <c r="P486" s="1">
        <v>45000</v>
      </c>
      <c r="Q486" s="1">
        <f>_xlfn.XLOOKUP($C486,'Plaza SP Tar'!$C:$C,'Plaza SP Tar'!K:K)</f>
        <v>5084016.1494181175</v>
      </c>
      <c r="R486">
        <v>50000</v>
      </c>
    </row>
    <row r="487" spans="1:18" x14ac:dyDescent="0.25">
      <c r="A487" t="s">
        <v>528</v>
      </c>
      <c r="B487" t="s">
        <v>529</v>
      </c>
      <c r="C487" t="s">
        <v>530</v>
      </c>
      <c r="D487" s="1">
        <v>3496364</v>
      </c>
      <c r="E487" s="1">
        <f>_xlfn.XLOOKUP($C487,'Plaza SP Tar'!$C:$C,'Plaza SP Tar'!E:E)</f>
        <v>3816393.210418561</v>
      </c>
      <c r="F487" s="1">
        <v>10000</v>
      </c>
      <c r="G487" s="1">
        <f>_xlfn.XLOOKUP($C487,'Plaza SP Tar'!$C:$C,'Plaza SP Tar'!F:F)</f>
        <v>4361592.2404783554</v>
      </c>
      <c r="H487" s="1">
        <v>18000</v>
      </c>
      <c r="I487" s="1">
        <f>_xlfn.XLOOKUP($C487,'Plaza SP Tar'!$C:$C,'Plaza SP Tar'!G:G)</f>
        <v>4797751.4645261904</v>
      </c>
      <c r="J487" s="1">
        <v>25000</v>
      </c>
      <c r="K487" s="1">
        <f>_xlfn.XLOOKUP($C487,'Plaza SP Tar'!$C:$C,'Plaza SP Tar'!H:H)</f>
        <v>5233910.6885740263</v>
      </c>
      <c r="L487" s="1">
        <v>30000</v>
      </c>
      <c r="M487" s="1">
        <f>_xlfn.XLOOKUP($C487,'Plaza SP Tar'!$C:$C,'Plaza SP Tar'!I:I)</f>
        <v>5670069.9126218623</v>
      </c>
      <c r="N487" s="1">
        <v>40000</v>
      </c>
      <c r="O487" s="1">
        <f>_xlfn.XLOOKUP($C487,'Plaza SP Tar'!$C:$C,'Plaza SP Tar'!J:J)</f>
        <v>6106229.1366696972</v>
      </c>
      <c r="P487" s="1">
        <v>45000</v>
      </c>
      <c r="Q487" s="1">
        <f>_xlfn.XLOOKUP($C487,'Plaza SP Tar'!$C:$C,'Plaza SP Tar'!K:K)</f>
        <v>6542388.3607175332</v>
      </c>
      <c r="R487">
        <v>50000</v>
      </c>
    </row>
    <row r="488" spans="1:18" x14ac:dyDescent="0.25">
      <c r="A488" t="s">
        <v>528</v>
      </c>
      <c r="B488" t="s">
        <v>529</v>
      </c>
      <c r="C488" t="s">
        <v>531</v>
      </c>
      <c r="D488" s="1">
        <v>3351860</v>
      </c>
      <c r="E488" s="1">
        <f>_xlfn.XLOOKUP($C488,'Plaza SP Tar'!$C:$C,'Plaza SP Tar'!E:E)</f>
        <v>3658662.4694321183</v>
      </c>
      <c r="F488" s="1">
        <v>10000</v>
      </c>
      <c r="G488" s="1">
        <f>_xlfn.XLOOKUP($C488,'Plaza SP Tar'!$C:$C,'Plaza SP Tar'!F:F)</f>
        <v>4181328.536493849</v>
      </c>
      <c r="H488" s="1">
        <v>18000</v>
      </c>
      <c r="I488" s="1">
        <f>_xlfn.XLOOKUP($C488,'Plaza SP Tar'!$C:$C,'Plaza SP Tar'!G:G)</f>
        <v>4599461.3901432334</v>
      </c>
      <c r="J488" s="1">
        <v>25000</v>
      </c>
      <c r="K488" s="1">
        <f>_xlfn.XLOOKUP($C488,'Plaza SP Tar'!$C:$C,'Plaza SP Tar'!H:H)</f>
        <v>5017594.2437926186</v>
      </c>
      <c r="L488" s="1">
        <v>30000</v>
      </c>
      <c r="M488" s="1">
        <f>_xlfn.XLOOKUP($C488,'Plaza SP Tar'!$C:$C,'Plaza SP Tar'!I:I)</f>
        <v>5435727.0974420039</v>
      </c>
      <c r="N488" s="1">
        <v>40000</v>
      </c>
      <c r="O488" s="1">
        <f>_xlfn.XLOOKUP($C488,'Plaza SP Tar'!$C:$C,'Plaza SP Tar'!J:J)</f>
        <v>5853859.9510913882</v>
      </c>
      <c r="P488" s="1">
        <v>45000</v>
      </c>
      <c r="Q488" s="1">
        <f>_xlfn.XLOOKUP($C488,'Plaza SP Tar'!$C:$C,'Plaza SP Tar'!K:K)</f>
        <v>6271992.8047407735</v>
      </c>
      <c r="R488">
        <v>50000</v>
      </c>
    </row>
    <row r="489" spans="1:18" x14ac:dyDescent="0.25">
      <c r="A489" t="s">
        <v>528</v>
      </c>
      <c r="B489" t="s">
        <v>529</v>
      </c>
      <c r="C489" t="s">
        <v>532</v>
      </c>
      <c r="D489" s="1">
        <v>5051259</v>
      </c>
      <c r="E489" s="1">
        <f>_xlfn.XLOOKUP($C489,'Plaza SP Tar'!$C:$C,'Plaza SP Tar'!E:E)</f>
        <v>5513610.8687955979</v>
      </c>
      <c r="F489" s="1">
        <v>10000</v>
      </c>
      <c r="G489" s="1">
        <f>_xlfn.XLOOKUP($C489,'Plaza SP Tar'!$C:$C,'Plaza SP Tar'!F:F)</f>
        <v>6301269.5643378254</v>
      </c>
      <c r="H489" s="1">
        <v>18000</v>
      </c>
      <c r="I489" s="1">
        <f>_xlfn.XLOOKUP($C489,'Plaza SP Tar'!$C:$C,'Plaza SP Tar'!G:G)</f>
        <v>6931396.5207716078</v>
      </c>
      <c r="J489" s="1">
        <v>25000</v>
      </c>
      <c r="K489" s="1">
        <f>_xlfn.XLOOKUP($C489,'Plaza SP Tar'!$C:$C,'Plaza SP Tar'!H:H)</f>
        <v>7561523.4772053901</v>
      </c>
      <c r="L489" s="1">
        <v>30000</v>
      </c>
      <c r="M489" s="1">
        <f>_xlfn.XLOOKUP($C489,'Plaza SP Tar'!$C:$C,'Plaza SP Tar'!I:I)</f>
        <v>8191650.4336391734</v>
      </c>
      <c r="N489" s="1">
        <v>40000</v>
      </c>
      <c r="O489" s="1">
        <f>_xlfn.XLOOKUP($C489,'Plaza SP Tar'!$C:$C,'Plaza SP Tar'!J:J)</f>
        <v>8821777.3900729548</v>
      </c>
      <c r="P489" s="1">
        <v>45000</v>
      </c>
      <c r="Q489" s="1">
        <f>_xlfn.XLOOKUP($C489,'Plaza SP Tar'!$C:$C,'Plaza SP Tar'!K:K)</f>
        <v>9451904.3465067372</v>
      </c>
      <c r="R489">
        <v>50000</v>
      </c>
    </row>
    <row r="490" spans="1:18" x14ac:dyDescent="0.25">
      <c r="A490" t="s">
        <v>528</v>
      </c>
      <c r="B490" t="s">
        <v>529</v>
      </c>
      <c r="C490" t="s">
        <v>533</v>
      </c>
      <c r="D490" s="1">
        <v>8752564</v>
      </c>
      <c r="E490" s="1">
        <f>_xlfn.XLOOKUP($C490,'Plaza SP Tar'!$C:$C,'Plaza SP Tar'!E:E)</f>
        <v>9553703.7400436345</v>
      </c>
      <c r="F490" s="1">
        <v>10000</v>
      </c>
      <c r="G490" s="1">
        <f>_xlfn.XLOOKUP($C490,'Plaza SP Tar'!$C:$C,'Plaza SP Tar'!F:F)</f>
        <v>10918518.560049867</v>
      </c>
      <c r="H490" s="1">
        <v>18000</v>
      </c>
      <c r="I490" s="1">
        <f>_xlfn.XLOOKUP($C490,'Plaza SP Tar'!$C:$C,'Plaza SP Tar'!G:G)</f>
        <v>12010370.416054854</v>
      </c>
      <c r="J490" s="1">
        <v>25000</v>
      </c>
      <c r="K490" s="1">
        <f>_xlfn.XLOOKUP($C490,'Plaza SP Tar'!$C:$C,'Plaza SP Tar'!H:H)</f>
        <v>13102222.272059841</v>
      </c>
      <c r="L490" s="1">
        <v>30000</v>
      </c>
      <c r="M490" s="1">
        <f>_xlfn.XLOOKUP($C490,'Plaza SP Tar'!$C:$C,'Plaza SP Tar'!I:I)</f>
        <v>14194074.128064828</v>
      </c>
      <c r="N490" s="1">
        <v>40000</v>
      </c>
      <c r="O490" s="1">
        <f>_xlfn.XLOOKUP($C490,'Plaza SP Tar'!$C:$C,'Plaza SP Tar'!J:J)</f>
        <v>15285925.984069813</v>
      </c>
      <c r="P490" s="1">
        <v>45000</v>
      </c>
      <c r="Q490" s="1">
        <f>_xlfn.XLOOKUP($C490,'Plaza SP Tar'!$C:$C,'Plaza SP Tar'!K:K)</f>
        <v>16377777.840074802</v>
      </c>
      <c r="R490">
        <v>50000</v>
      </c>
    </row>
    <row r="491" spans="1:18" x14ac:dyDescent="0.25">
      <c r="A491" t="s">
        <v>528</v>
      </c>
      <c r="B491" t="s">
        <v>529</v>
      </c>
      <c r="C491" t="s">
        <v>534</v>
      </c>
      <c r="D491" s="1">
        <v>2176617</v>
      </c>
      <c r="E491" s="1">
        <f>_xlfn.XLOOKUP($C491,'Plaza SP Tar'!$C:$C,'Plaza SP Tar'!E:E)</f>
        <v>2375847.1201744489</v>
      </c>
      <c r="F491" s="1">
        <v>10000</v>
      </c>
      <c r="G491" s="1">
        <f>_xlfn.XLOOKUP($C491,'Plaza SP Tar'!$C:$C,'Plaza SP Tar'!F:F)</f>
        <v>2715253.8516279417</v>
      </c>
      <c r="H491" s="1">
        <v>18000</v>
      </c>
      <c r="I491" s="1">
        <f>_xlfn.XLOOKUP($C491,'Plaza SP Tar'!$C:$C,'Plaza SP Tar'!G:G)</f>
        <v>2986779.2367907357</v>
      </c>
      <c r="J491" s="1">
        <v>25000</v>
      </c>
      <c r="K491" s="1">
        <f>_xlfn.XLOOKUP($C491,'Plaza SP Tar'!$C:$C,'Plaza SP Tar'!H:H)</f>
        <v>3258304.6219535298</v>
      </c>
      <c r="L491" s="1">
        <v>30000</v>
      </c>
      <c r="M491" s="1">
        <f>_xlfn.XLOOKUP($C491,'Plaza SP Tar'!$C:$C,'Plaza SP Tar'!I:I)</f>
        <v>3529830.0071163243</v>
      </c>
      <c r="N491" s="1">
        <v>40000</v>
      </c>
      <c r="O491" s="1">
        <f>_xlfn.XLOOKUP($C491,'Plaza SP Tar'!$C:$C,'Plaza SP Tar'!J:J)</f>
        <v>3801355.3922791178</v>
      </c>
      <c r="P491" s="1">
        <v>45000</v>
      </c>
      <c r="Q491" s="1">
        <f>_xlfn.XLOOKUP($C491,'Plaza SP Tar'!$C:$C,'Plaza SP Tar'!K:K)</f>
        <v>4072880.7774419123</v>
      </c>
      <c r="R491">
        <v>50000</v>
      </c>
    </row>
    <row r="492" spans="1:18" x14ac:dyDescent="0.25">
      <c r="A492" t="s">
        <v>528</v>
      </c>
      <c r="B492" t="s">
        <v>529</v>
      </c>
      <c r="C492" t="s">
        <v>535</v>
      </c>
      <c r="D492" s="1">
        <v>4993265</v>
      </c>
      <c r="E492" s="1">
        <f>_xlfn.XLOOKUP($C492,'Plaza SP Tar'!$C:$C,'Plaza SP Tar'!E:E)</f>
        <v>5450308.5616430771</v>
      </c>
      <c r="F492" s="1">
        <v>10000</v>
      </c>
      <c r="G492" s="1">
        <f>_xlfn.XLOOKUP($C492,'Plaza SP Tar'!$C:$C,'Plaza SP Tar'!F:F)</f>
        <v>6228924.0704492312</v>
      </c>
      <c r="H492" s="1">
        <v>18000</v>
      </c>
      <c r="I492" s="1">
        <f>_xlfn.XLOOKUP($C492,'Plaza SP Tar'!$C:$C,'Plaza SP Tar'!G:G)</f>
        <v>6851816.4774941532</v>
      </c>
      <c r="J492" s="1">
        <v>25000</v>
      </c>
      <c r="K492" s="1">
        <f>_xlfn.XLOOKUP($C492,'Plaza SP Tar'!$C:$C,'Plaza SP Tar'!H:H)</f>
        <v>7474708.8845390771</v>
      </c>
      <c r="L492" s="1">
        <v>30000</v>
      </c>
      <c r="M492" s="1">
        <f>_xlfn.XLOOKUP($C492,'Plaza SP Tar'!$C:$C,'Plaza SP Tar'!I:I)</f>
        <v>8097601.291584</v>
      </c>
      <c r="N492" s="1">
        <v>40000</v>
      </c>
      <c r="O492" s="1">
        <f>_xlfn.XLOOKUP($C492,'Plaza SP Tar'!$C:$C,'Plaza SP Tar'!J:J)</f>
        <v>8720493.6986289229</v>
      </c>
      <c r="P492" s="1">
        <v>45000</v>
      </c>
      <c r="Q492" s="1">
        <f>_xlfn.XLOOKUP($C492,'Plaza SP Tar'!$C:$C,'Plaza SP Tar'!K:K)</f>
        <v>9343386.1056738459</v>
      </c>
      <c r="R492">
        <v>50000</v>
      </c>
    </row>
    <row r="493" spans="1:18" x14ac:dyDescent="0.25">
      <c r="A493" t="s">
        <v>528</v>
      </c>
      <c r="B493" t="s">
        <v>529</v>
      </c>
      <c r="C493" t="s">
        <v>536</v>
      </c>
      <c r="D493" s="1">
        <v>3615286</v>
      </c>
      <c r="E493" s="1">
        <f>_xlfn.XLOOKUP($C493,'Plaza SP Tar'!$C:$C,'Plaza SP Tar'!E:E)</f>
        <v>3946200.3796290313</v>
      </c>
      <c r="F493" s="1">
        <v>10000</v>
      </c>
      <c r="G493" s="1">
        <f>_xlfn.XLOOKUP($C493,'Plaza SP Tar'!$C:$C,'Plaza SP Tar'!F:F)</f>
        <v>4509943.2910046075</v>
      </c>
      <c r="H493" s="1">
        <v>18000</v>
      </c>
      <c r="I493" s="1">
        <f>_xlfn.XLOOKUP($C493,'Plaza SP Tar'!$C:$C,'Plaza SP Tar'!G:G)</f>
        <v>4960937.6201050673</v>
      </c>
      <c r="J493" s="1">
        <v>25000</v>
      </c>
      <c r="K493" s="1">
        <f>_xlfn.XLOOKUP($C493,'Plaza SP Tar'!$C:$C,'Plaza SP Tar'!H:H)</f>
        <v>5411931.949205528</v>
      </c>
      <c r="L493" s="1">
        <v>30000</v>
      </c>
      <c r="M493" s="1">
        <f>_xlfn.XLOOKUP($C493,'Plaza SP Tar'!$C:$C,'Plaza SP Tar'!I:I)</f>
        <v>5862926.2783059888</v>
      </c>
      <c r="N493" s="1">
        <v>40000</v>
      </c>
      <c r="O493" s="1">
        <f>_xlfn.XLOOKUP($C493,'Plaza SP Tar'!$C:$C,'Plaza SP Tar'!J:J)</f>
        <v>6313920.6074064495</v>
      </c>
      <c r="P493" s="1">
        <v>45000</v>
      </c>
      <c r="Q493" s="1">
        <f>_xlfn.XLOOKUP($C493,'Plaza SP Tar'!$C:$C,'Plaza SP Tar'!K:K)</f>
        <v>6764914.9365069102</v>
      </c>
      <c r="R493">
        <v>50000</v>
      </c>
    </row>
    <row r="494" spans="1:18" x14ac:dyDescent="0.25">
      <c r="A494" t="s">
        <v>528</v>
      </c>
      <c r="B494" t="s">
        <v>529</v>
      </c>
      <c r="C494" t="s">
        <v>537</v>
      </c>
      <c r="D494" s="1">
        <v>4987731</v>
      </c>
      <c r="E494" s="1">
        <f>_xlfn.XLOOKUP($C494,'Plaza SP Tar'!$C:$C,'Plaza SP Tar'!E:E)</f>
        <v>5444268.0235222019</v>
      </c>
      <c r="F494" s="1">
        <v>10000</v>
      </c>
      <c r="G494" s="1">
        <f>_xlfn.XLOOKUP($C494,'Plaza SP Tar'!$C:$C,'Plaza SP Tar'!F:F)</f>
        <v>6222020.598311088</v>
      </c>
      <c r="H494" s="1">
        <v>18000</v>
      </c>
      <c r="I494" s="1">
        <f>_xlfn.XLOOKUP($C494,'Plaza SP Tar'!$C:$C,'Plaza SP Tar'!G:G)</f>
        <v>6844222.658142196</v>
      </c>
      <c r="J494" s="1">
        <v>25000</v>
      </c>
      <c r="K494" s="1">
        <f>_xlfn.XLOOKUP($C494,'Plaza SP Tar'!$C:$C,'Plaza SP Tar'!H:H)</f>
        <v>7466424.7179733049</v>
      </c>
      <c r="L494" s="1">
        <v>30000</v>
      </c>
      <c r="M494" s="1">
        <f>_xlfn.XLOOKUP($C494,'Plaza SP Tar'!$C:$C,'Plaza SP Tar'!I:I)</f>
        <v>8088626.7778044138</v>
      </c>
      <c r="N494" s="1">
        <v>40000</v>
      </c>
      <c r="O494" s="1">
        <f>_xlfn.XLOOKUP($C494,'Plaza SP Tar'!$C:$C,'Plaza SP Tar'!J:J)</f>
        <v>8710828.8376355227</v>
      </c>
      <c r="P494" s="1">
        <v>45000</v>
      </c>
      <c r="Q494" s="1">
        <f>_xlfn.XLOOKUP($C494,'Plaza SP Tar'!$C:$C,'Plaza SP Tar'!K:K)</f>
        <v>9333030.8974666316</v>
      </c>
      <c r="R494">
        <v>50000</v>
      </c>
    </row>
    <row r="495" spans="1:18" x14ac:dyDescent="0.25">
      <c r="A495" t="s">
        <v>528</v>
      </c>
      <c r="B495" t="s">
        <v>529</v>
      </c>
      <c r="C495" t="s">
        <v>538</v>
      </c>
      <c r="D495" s="1">
        <v>2086927</v>
      </c>
      <c r="E495" s="1">
        <f>_xlfn.XLOOKUP($C495,'Plaza SP Tar'!$C:$C,'Plaza SP Tar'!E:E)</f>
        <v>2277947.6145616351</v>
      </c>
      <c r="F495" s="1">
        <v>10000</v>
      </c>
      <c r="G495" s="1">
        <f>_xlfn.XLOOKUP($C495,'Plaza SP Tar'!$C:$C,'Plaza SP Tar'!F:F)</f>
        <v>2603368.7023561541</v>
      </c>
      <c r="H495" s="1">
        <v>18000</v>
      </c>
      <c r="I495" s="1">
        <f>_xlfn.XLOOKUP($C495,'Plaza SP Tar'!$C:$C,'Plaza SP Tar'!G:G)</f>
        <v>2863705.5725917695</v>
      </c>
      <c r="J495" s="1">
        <v>25000</v>
      </c>
      <c r="K495" s="1">
        <f>_xlfn.XLOOKUP($C495,'Plaza SP Tar'!$C:$C,'Plaza SP Tar'!H:H)</f>
        <v>3124042.4428273849</v>
      </c>
      <c r="L495" s="1">
        <v>30000</v>
      </c>
      <c r="M495" s="1">
        <f>_xlfn.XLOOKUP($C495,'Plaza SP Tar'!$C:$C,'Plaza SP Tar'!I:I)</f>
        <v>3384379.3130630003</v>
      </c>
      <c r="N495" s="1">
        <v>40000</v>
      </c>
      <c r="O495" s="1">
        <f>_xlfn.XLOOKUP($C495,'Plaza SP Tar'!$C:$C,'Plaza SP Tar'!J:J)</f>
        <v>3644716.1832986157</v>
      </c>
      <c r="P495" s="1">
        <v>45000</v>
      </c>
      <c r="Q495" s="1">
        <f>_xlfn.XLOOKUP($C495,'Plaza SP Tar'!$C:$C,'Plaza SP Tar'!K:K)</f>
        <v>3905053.0535342311</v>
      </c>
      <c r="R495">
        <v>50000</v>
      </c>
    </row>
    <row r="496" spans="1:18" x14ac:dyDescent="0.25">
      <c r="A496" t="s">
        <v>528</v>
      </c>
      <c r="B496" t="s">
        <v>529</v>
      </c>
      <c r="C496" t="s">
        <v>539</v>
      </c>
      <c r="D496" s="1">
        <v>3794568</v>
      </c>
      <c r="E496" s="1">
        <f>_xlfn.XLOOKUP($C496,'Plaza SP Tar'!$C:$C,'Plaza SP Tar'!E:E)</f>
        <v>4141892.4207180771</v>
      </c>
      <c r="F496" s="1">
        <v>10000</v>
      </c>
      <c r="G496" s="1">
        <f>_xlfn.XLOOKUP($C496,'Plaza SP Tar'!$C:$C,'Plaza SP Tar'!F:F)</f>
        <v>4733591.3379635168</v>
      </c>
      <c r="H496" s="1">
        <v>18000</v>
      </c>
      <c r="I496" s="1">
        <f>_xlfn.XLOOKUP($C496,'Plaza SP Tar'!$C:$C,'Plaza SP Tar'!G:G)</f>
        <v>5206950.4717598679</v>
      </c>
      <c r="J496" s="1">
        <v>25000</v>
      </c>
      <c r="K496" s="1">
        <f>_xlfn.XLOOKUP($C496,'Plaza SP Tar'!$C:$C,'Plaza SP Tar'!H:H)</f>
        <v>5680309.6055562198</v>
      </c>
      <c r="L496" s="1">
        <v>30000</v>
      </c>
      <c r="M496" s="1">
        <f>_xlfn.XLOOKUP($C496,'Plaza SP Tar'!$C:$C,'Plaza SP Tar'!I:I)</f>
        <v>6153668.7393525718</v>
      </c>
      <c r="N496" s="1">
        <v>40000</v>
      </c>
      <c r="O496" s="1">
        <f>_xlfn.XLOOKUP($C496,'Plaza SP Tar'!$C:$C,'Plaza SP Tar'!J:J)</f>
        <v>6627027.8731489228</v>
      </c>
      <c r="P496" s="1">
        <v>45000</v>
      </c>
      <c r="Q496" s="1">
        <f>_xlfn.XLOOKUP($C496,'Plaza SP Tar'!$C:$C,'Plaza SP Tar'!K:K)</f>
        <v>7100387.0069452748</v>
      </c>
      <c r="R496">
        <v>50000</v>
      </c>
    </row>
    <row r="497" spans="1:18" x14ac:dyDescent="0.25">
      <c r="A497" t="s">
        <v>528</v>
      </c>
      <c r="B497" t="s">
        <v>529</v>
      </c>
      <c r="C497" t="s">
        <v>540</v>
      </c>
      <c r="D497" s="1">
        <v>4116183</v>
      </c>
      <c r="E497" s="1">
        <f>_xlfn.XLOOKUP($C497,'Plaza SP Tar'!$C:$C,'Plaza SP Tar'!E:E)</f>
        <v>4492945.4868086688</v>
      </c>
      <c r="F497" s="1">
        <v>10000</v>
      </c>
      <c r="G497" s="1">
        <f>_xlfn.XLOOKUP($C497,'Plaza SP Tar'!$C:$C,'Plaza SP Tar'!F:F)</f>
        <v>5134794.8420670498</v>
      </c>
      <c r="H497" s="1">
        <v>18000</v>
      </c>
      <c r="I497" s="1">
        <f>_xlfn.XLOOKUP($C497,'Plaza SP Tar'!$C:$C,'Plaza SP Tar'!G:G)</f>
        <v>5648274.3262737542</v>
      </c>
      <c r="J497" s="1">
        <v>25000</v>
      </c>
      <c r="K497" s="1">
        <f>_xlfn.XLOOKUP($C497,'Plaza SP Tar'!$C:$C,'Plaza SP Tar'!H:H)</f>
        <v>6161753.8104804596</v>
      </c>
      <c r="L497" s="1">
        <v>30000</v>
      </c>
      <c r="M497" s="1">
        <f>_xlfn.XLOOKUP($C497,'Plaza SP Tar'!$C:$C,'Plaza SP Tar'!I:I)</f>
        <v>6675233.2946871649</v>
      </c>
      <c r="N497" s="1">
        <v>40000</v>
      </c>
      <c r="O497" s="1">
        <f>_xlfn.XLOOKUP($C497,'Plaza SP Tar'!$C:$C,'Plaza SP Tar'!J:J)</f>
        <v>7188712.7788938694</v>
      </c>
      <c r="P497" s="1">
        <v>45000</v>
      </c>
      <c r="Q497" s="1">
        <f>_xlfn.XLOOKUP($C497,'Plaza SP Tar'!$C:$C,'Plaza SP Tar'!K:K)</f>
        <v>7702192.2631005747</v>
      </c>
      <c r="R497">
        <v>50000</v>
      </c>
    </row>
    <row r="498" spans="1:18" x14ac:dyDescent="0.25">
      <c r="A498" t="s">
        <v>528</v>
      </c>
      <c r="B498" t="s">
        <v>529</v>
      </c>
      <c r="C498" t="s">
        <v>541</v>
      </c>
      <c r="D498" s="1">
        <v>5996375</v>
      </c>
      <c r="E498" s="1">
        <f>_xlfn.XLOOKUP($C498,'Plaza SP Tar'!$C:$C,'Plaza SP Tar'!E:E)</f>
        <v>6545235.2321221698</v>
      </c>
      <c r="F498" s="1">
        <v>10000</v>
      </c>
      <c r="G498" s="1">
        <f>_xlfn.XLOOKUP($C498,'Plaza SP Tar'!$C:$C,'Plaza SP Tar'!F:F)</f>
        <v>7480268.8367110519</v>
      </c>
      <c r="H498" s="1">
        <v>18000</v>
      </c>
      <c r="I498" s="1">
        <f>_xlfn.XLOOKUP($C498,'Plaza SP Tar'!$C:$C,'Plaza SP Tar'!G:G)</f>
        <v>8228295.7203821559</v>
      </c>
      <c r="J498" s="1">
        <v>25000</v>
      </c>
      <c r="K498" s="1">
        <f>_xlfn.XLOOKUP($C498,'Plaza SP Tar'!$C:$C,'Plaza SP Tar'!H:H)</f>
        <v>8976322.6040532608</v>
      </c>
      <c r="L498" s="1">
        <v>30000</v>
      </c>
      <c r="M498" s="1">
        <f>_xlfn.XLOOKUP($C498,'Plaza SP Tar'!$C:$C,'Plaza SP Tar'!I:I)</f>
        <v>9724349.4877243675</v>
      </c>
      <c r="N498" s="1">
        <v>40000</v>
      </c>
      <c r="O498" s="1">
        <f>_xlfn.XLOOKUP($C498,'Plaza SP Tar'!$C:$C,'Plaza SP Tar'!J:J)</f>
        <v>10472376.371395471</v>
      </c>
      <c r="P498" s="1">
        <v>45000</v>
      </c>
      <c r="Q498" s="1">
        <f>_xlfn.XLOOKUP($C498,'Plaza SP Tar'!$C:$C,'Plaza SP Tar'!K:K)</f>
        <v>11220403.255066577</v>
      </c>
      <c r="R498">
        <v>50000</v>
      </c>
    </row>
    <row r="499" spans="1:18" x14ac:dyDescent="0.25">
      <c r="A499" t="s">
        <v>528</v>
      </c>
      <c r="B499" t="s">
        <v>529</v>
      </c>
      <c r="C499" t="s">
        <v>542</v>
      </c>
      <c r="D499" s="1">
        <v>6701062</v>
      </c>
      <c r="E499" s="1">
        <f>_xlfn.XLOOKUP($C499,'Plaza SP Tar'!$C:$C,'Plaza SP Tar'!E:E)</f>
        <v>7314423.6467924463</v>
      </c>
      <c r="F499" s="1">
        <v>10000</v>
      </c>
      <c r="G499" s="1">
        <f>_xlfn.XLOOKUP($C499,'Plaza SP Tar'!$C:$C,'Plaza SP Tar'!F:F)</f>
        <v>8359341.3106199382</v>
      </c>
      <c r="H499" s="1">
        <v>18000</v>
      </c>
      <c r="I499" s="1">
        <f>_xlfn.XLOOKUP($C499,'Plaza SP Tar'!$C:$C,'Plaza SP Tar'!G:G)</f>
        <v>9195275.4416819308</v>
      </c>
      <c r="J499" s="1">
        <v>25000</v>
      </c>
      <c r="K499" s="1">
        <f>_xlfn.XLOOKUP($C499,'Plaza SP Tar'!$C:$C,'Plaza SP Tar'!H:H)</f>
        <v>10031209.572743926</v>
      </c>
      <c r="L499" s="1">
        <v>30000</v>
      </c>
      <c r="M499" s="1">
        <f>_xlfn.XLOOKUP($C499,'Plaza SP Tar'!$C:$C,'Plaza SP Tar'!I:I)</f>
        <v>10867143.70380592</v>
      </c>
      <c r="N499" s="1">
        <v>40000</v>
      </c>
      <c r="O499" s="1">
        <f>_xlfn.XLOOKUP($C499,'Plaza SP Tar'!$C:$C,'Plaza SP Tar'!J:J)</f>
        <v>11703077.834867913</v>
      </c>
      <c r="P499" s="1">
        <v>45000</v>
      </c>
      <c r="Q499" s="1">
        <f>_xlfn.XLOOKUP($C499,'Plaza SP Tar'!$C:$C,'Plaza SP Tar'!K:K)</f>
        <v>12539011.965929907</v>
      </c>
      <c r="R499">
        <v>50000</v>
      </c>
    </row>
    <row r="500" spans="1:18" x14ac:dyDescent="0.25">
      <c r="A500" t="s">
        <v>528</v>
      </c>
      <c r="B500" t="s">
        <v>529</v>
      </c>
      <c r="C500" t="s">
        <v>543</v>
      </c>
      <c r="D500" s="1">
        <v>3568211</v>
      </c>
      <c r="E500" s="1">
        <f>_xlfn.XLOOKUP($C500,'Plaza SP Tar'!$C:$C,'Plaza SP Tar'!E:E)</f>
        <v>3894816.5104493769</v>
      </c>
      <c r="F500" s="1">
        <v>10000</v>
      </c>
      <c r="G500" s="1">
        <f>_xlfn.XLOOKUP($C500,'Plaza SP Tar'!$C:$C,'Plaza SP Tar'!F:F)</f>
        <v>4451218.8690850018</v>
      </c>
      <c r="H500" s="1">
        <v>18000</v>
      </c>
      <c r="I500" s="1">
        <f>_xlfn.XLOOKUP($C500,'Plaza SP Tar'!$C:$C,'Plaza SP Tar'!G:G)</f>
        <v>4896340.7559935013</v>
      </c>
      <c r="J500" s="1">
        <v>25000</v>
      </c>
      <c r="K500" s="1">
        <f>_xlfn.XLOOKUP($C500,'Plaza SP Tar'!$C:$C,'Plaza SP Tar'!H:H)</f>
        <v>5341462.6429020017</v>
      </c>
      <c r="L500" s="1">
        <v>30000</v>
      </c>
      <c r="M500" s="1">
        <f>_xlfn.XLOOKUP($C500,'Plaza SP Tar'!$C:$C,'Plaza SP Tar'!I:I)</f>
        <v>5786584.5298105022</v>
      </c>
      <c r="N500" s="1">
        <v>40000</v>
      </c>
      <c r="O500" s="1">
        <f>_xlfn.XLOOKUP($C500,'Plaza SP Tar'!$C:$C,'Plaza SP Tar'!J:J)</f>
        <v>6231706.4167190017</v>
      </c>
      <c r="P500" s="1">
        <v>45000</v>
      </c>
      <c r="Q500" s="1">
        <f>_xlfn.XLOOKUP($C500,'Plaza SP Tar'!$C:$C,'Plaza SP Tar'!K:K)</f>
        <v>6676828.3036275022</v>
      </c>
      <c r="R500">
        <v>50000</v>
      </c>
    </row>
    <row r="501" spans="1:18" x14ac:dyDescent="0.25">
      <c r="A501" t="s">
        <v>528</v>
      </c>
      <c r="B501" t="s">
        <v>529</v>
      </c>
      <c r="C501" t="s">
        <v>544</v>
      </c>
      <c r="D501" s="1">
        <v>5273840</v>
      </c>
      <c r="E501" s="1">
        <f>_xlfn.XLOOKUP($C501,'Plaza SP Tar'!$C:$C,'Plaza SP Tar'!E:E)</f>
        <v>5756565.1542098662</v>
      </c>
      <c r="F501" s="1">
        <v>10000</v>
      </c>
      <c r="G501" s="1">
        <f>_xlfn.XLOOKUP($C501,'Plaza SP Tar'!$C:$C,'Plaza SP Tar'!F:F)</f>
        <v>6578931.6048112754</v>
      </c>
      <c r="H501" s="1">
        <v>18000</v>
      </c>
      <c r="I501" s="1">
        <f>_xlfn.XLOOKUP($C501,'Plaza SP Tar'!$C:$C,'Plaza SP Tar'!G:G)</f>
        <v>7236824.7652924024</v>
      </c>
      <c r="J501" s="1">
        <v>25000</v>
      </c>
      <c r="K501" s="1">
        <f>_xlfn.XLOOKUP($C501,'Plaza SP Tar'!$C:$C,'Plaza SP Tar'!H:H)</f>
        <v>7894717.9257735303</v>
      </c>
      <c r="L501" s="1">
        <v>30000</v>
      </c>
      <c r="M501" s="1">
        <f>_xlfn.XLOOKUP($C501,'Plaza SP Tar'!$C:$C,'Plaza SP Tar'!I:I)</f>
        <v>8552611.0862546582</v>
      </c>
      <c r="N501" s="1">
        <v>40000</v>
      </c>
      <c r="O501" s="1">
        <f>_xlfn.XLOOKUP($C501,'Plaza SP Tar'!$C:$C,'Plaza SP Tar'!J:J)</f>
        <v>9210504.2467357852</v>
      </c>
      <c r="P501" s="1">
        <v>45000</v>
      </c>
      <c r="Q501" s="1">
        <f>_xlfn.XLOOKUP($C501,'Plaza SP Tar'!$C:$C,'Plaza SP Tar'!K:K)</f>
        <v>9868397.4072169121</v>
      </c>
      <c r="R501">
        <v>50000</v>
      </c>
    </row>
    <row r="502" spans="1:18" x14ac:dyDescent="0.25">
      <c r="A502" t="s">
        <v>528</v>
      </c>
      <c r="B502" t="s">
        <v>529</v>
      </c>
      <c r="C502" t="s">
        <v>545</v>
      </c>
      <c r="D502" s="1">
        <v>4167464</v>
      </c>
      <c r="E502" s="1">
        <f>_xlfn.XLOOKUP($C502,'Plaza SP Tar'!$C:$C,'Plaza SP Tar'!E:E)</f>
        <v>4548920.33960531</v>
      </c>
      <c r="F502" s="1">
        <v>10000</v>
      </c>
      <c r="G502" s="1">
        <f>_xlfn.XLOOKUP($C502,'Plaza SP Tar'!$C:$C,'Plaza SP Tar'!F:F)</f>
        <v>5198766.1024060678</v>
      </c>
      <c r="H502" s="1">
        <v>18000</v>
      </c>
      <c r="I502" s="1">
        <f>_xlfn.XLOOKUP($C502,'Plaza SP Tar'!$C:$C,'Plaza SP Tar'!G:G)</f>
        <v>5718642.7126466744</v>
      </c>
      <c r="J502" s="1">
        <v>25000</v>
      </c>
      <c r="K502" s="1">
        <f>_xlfn.XLOOKUP($C502,'Plaza SP Tar'!$C:$C,'Plaza SP Tar'!H:H)</f>
        <v>6238519.322887281</v>
      </c>
      <c r="L502" s="1">
        <v>30000</v>
      </c>
      <c r="M502" s="1">
        <f>_xlfn.XLOOKUP($C502,'Plaza SP Tar'!$C:$C,'Plaza SP Tar'!I:I)</f>
        <v>6758395.9331278885</v>
      </c>
      <c r="N502" s="1">
        <v>40000</v>
      </c>
      <c r="O502" s="1">
        <f>_xlfn.XLOOKUP($C502,'Plaza SP Tar'!$C:$C,'Plaza SP Tar'!J:J)</f>
        <v>7278272.5433684941</v>
      </c>
      <c r="P502" s="1">
        <v>45000</v>
      </c>
      <c r="Q502" s="1">
        <f>_xlfn.XLOOKUP($C502,'Plaza SP Tar'!$C:$C,'Plaza SP Tar'!K:K)</f>
        <v>7798149.1536091017</v>
      </c>
      <c r="R502">
        <v>50000</v>
      </c>
    </row>
    <row r="503" spans="1:18" x14ac:dyDescent="0.25">
      <c r="A503" t="s">
        <v>528</v>
      </c>
      <c r="B503" t="s">
        <v>546</v>
      </c>
      <c r="C503" t="s">
        <v>547</v>
      </c>
      <c r="D503" s="1">
        <v>6937039</v>
      </c>
      <c r="E503" s="1">
        <f>_xlfn.XLOOKUP($C503,'Plaza SP Tar'!$C:$C,'Plaza SP Tar'!E:E)</f>
        <v>7572000.0949582951</v>
      </c>
      <c r="F503" s="1">
        <v>10000</v>
      </c>
      <c r="G503" s="1">
        <f>_xlfn.XLOOKUP($C503,'Plaza SP Tar'!$C:$C,'Plaza SP Tar'!F:F)</f>
        <v>8653714.394238051</v>
      </c>
      <c r="H503" s="1">
        <v>18000</v>
      </c>
      <c r="I503" s="1">
        <f>_xlfn.XLOOKUP($C503,'Plaza SP Tar'!$C:$C,'Plaza SP Tar'!G:G)</f>
        <v>9519085.8336618561</v>
      </c>
      <c r="J503" s="1">
        <v>25000</v>
      </c>
      <c r="K503" s="1">
        <f>_xlfn.XLOOKUP($C503,'Plaza SP Tar'!$C:$C,'Plaza SP Tar'!H:H)</f>
        <v>10384457.273085661</v>
      </c>
      <c r="L503" s="1">
        <v>30000</v>
      </c>
      <c r="M503" s="1">
        <f>_xlfn.XLOOKUP($C503,'Plaza SP Tar'!$C:$C,'Plaza SP Tar'!I:I)</f>
        <v>11249828.712509466</v>
      </c>
      <c r="N503" s="1">
        <v>40000</v>
      </c>
      <c r="O503" s="1">
        <f>_xlfn.XLOOKUP($C503,'Plaza SP Tar'!$C:$C,'Plaza SP Tar'!J:J)</f>
        <v>12115200.151933271</v>
      </c>
      <c r="P503" s="1">
        <v>45000</v>
      </c>
      <c r="Q503" s="1">
        <f>_xlfn.XLOOKUP($C503,'Plaza SP Tar'!$C:$C,'Plaza SP Tar'!K:K)</f>
        <v>12980571.591357077</v>
      </c>
      <c r="R503">
        <v>50000</v>
      </c>
    </row>
    <row r="504" spans="1:18" x14ac:dyDescent="0.25">
      <c r="A504" t="s">
        <v>528</v>
      </c>
      <c r="B504" t="s">
        <v>546</v>
      </c>
      <c r="C504" t="s">
        <v>548</v>
      </c>
      <c r="D504" s="1">
        <v>3591404</v>
      </c>
      <c r="E504" s="1">
        <f>_xlfn.XLOOKUP($C504,'Plaza SP Tar'!$C:$C,'Plaza SP Tar'!E:E)</f>
        <v>3920132.4122631573</v>
      </c>
      <c r="F504" s="1">
        <v>10000</v>
      </c>
      <c r="G504" s="1">
        <f>_xlfn.XLOOKUP($C504,'Plaza SP Tar'!$C:$C,'Plaza SP Tar'!F:F)</f>
        <v>4480151.3283007508</v>
      </c>
      <c r="H504" s="1">
        <v>18000</v>
      </c>
      <c r="I504" s="1">
        <f>_xlfn.XLOOKUP($C504,'Plaza SP Tar'!$C:$C,'Plaza SP Tar'!G:G)</f>
        <v>4928166.4611308258</v>
      </c>
      <c r="J504" s="1">
        <v>25000</v>
      </c>
      <c r="K504" s="1">
        <f>_xlfn.XLOOKUP($C504,'Plaza SP Tar'!$C:$C,'Plaza SP Tar'!H:H)</f>
        <v>5376181.5939609008</v>
      </c>
      <c r="L504" s="1">
        <v>30000</v>
      </c>
      <c r="M504" s="1">
        <f>_xlfn.XLOOKUP($C504,'Plaza SP Tar'!$C:$C,'Plaza SP Tar'!I:I)</f>
        <v>5824196.7267909767</v>
      </c>
      <c r="N504" s="1">
        <v>40000</v>
      </c>
      <c r="O504" s="1">
        <f>_xlfn.XLOOKUP($C504,'Plaza SP Tar'!$C:$C,'Plaza SP Tar'!J:J)</f>
        <v>6272211.8596210508</v>
      </c>
      <c r="P504" s="1">
        <v>45000</v>
      </c>
      <c r="Q504" s="1">
        <f>_xlfn.XLOOKUP($C504,'Plaza SP Tar'!$C:$C,'Plaza SP Tar'!K:K)</f>
        <v>6720226.9924511267</v>
      </c>
      <c r="R504">
        <v>50000</v>
      </c>
    </row>
    <row r="505" spans="1:18" x14ac:dyDescent="0.25">
      <c r="A505" t="s">
        <v>528</v>
      </c>
      <c r="B505" t="s">
        <v>546</v>
      </c>
      <c r="C505" t="s">
        <v>549</v>
      </c>
      <c r="D505" s="1">
        <v>9156625</v>
      </c>
      <c r="E505" s="1">
        <f>_xlfn.XLOOKUP($C505,'Plaza SP Tar'!$C:$C,'Plaza SP Tar'!E:E)</f>
        <v>9994749.2538960073</v>
      </c>
      <c r="F505" s="1">
        <v>10000</v>
      </c>
      <c r="G505" s="1">
        <f>_xlfn.XLOOKUP($C505,'Plaza SP Tar'!$C:$C,'Plaza SP Tar'!F:F)</f>
        <v>11422570.57588115</v>
      </c>
      <c r="H505" s="1">
        <v>18000</v>
      </c>
      <c r="I505" s="1">
        <f>_xlfn.XLOOKUP($C505,'Plaza SP Tar'!$C:$C,'Plaza SP Tar'!G:G)</f>
        <v>12564827.633469263</v>
      </c>
      <c r="J505" s="1">
        <v>25000</v>
      </c>
      <c r="K505" s="1">
        <f>_xlfn.XLOOKUP($C505,'Plaza SP Tar'!$C:$C,'Plaza SP Tar'!H:H)</f>
        <v>13707084.69105738</v>
      </c>
      <c r="L505" s="1">
        <v>30000</v>
      </c>
      <c r="M505" s="1">
        <f>_xlfn.XLOOKUP($C505,'Plaza SP Tar'!$C:$C,'Plaza SP Tar'!I:I)</f>
        <v>14849341.748645496</v>
      </c>
      <c r="N505" s="1">
        <v>40000</v>
      </c>
      <c r="O505" s="1">
        <f>_xlfn.XLOOKUP($C505,'Plaza SP Tar'!$C:$C,'Plaza SP Tar'!J:J)</f>
        <v>15991598.806233609</v>
      </c>
      <c r="P505" s="1">
        <v>45000</v>
      </c>
      <c r="Q505" s="1">
        <f>_xlfn.XLOOKUP($C505,'Plaza SP Tar'!$C:$C,'Plaza SP Tar'!K:K)</f>
        <v>17133855.863821723</v>
      </c>
      <c r="R505">
        <v>50000</v>
      </c>
    </row>
    <row r="506" spans="1:18" x14ac:dyDescent="0.25">
      <c r="A506" t="s">
        <v>528</v>
      </c>
      <c r="B506" t="s">
        <v>546</v>
      </c>
      <c r="C506" t="s">
        <v>550</v>
      </c>
      <c r="D506" s="1">
        <v>5661099</v>
      </c>
      <c r="E506" s="1">
        <f>_xlfn.XLOOKUP($C506,'Plaza SP Tar'!$C:$C,'Plaza SP Tar'!E:E)</f>
        <v>6179270.7472984241</v>
      </c>
      <c r="F506" s="1">
        <v>10000</v>
      </c>
      <c r="G506" s="1">
        <f>_xlfn.XLOOKUP($C506,'Plaza SP Tar'!$C:$C,'Plaza SP Tar'!F:F)</f>
        <v>7062023.7111981986</v>
      </c>
      <c r="H506" s="1">
        <v>18000</v>
      </c>
      <c r="I506" s="1">
        <f>_xlfn.XLOOKUP($C506,'Plaza SP Tar'!$C:$C,'Plaza SP Tar'!G:G)</f>
        <v>7768226.0823180173</v>
      </c>
      <c r="J506" s="1">
        <v>25000</v>
      </c>
      <c r="K506" s="1">
        <f>_xlfn.XLOOKUP($C506,'Plaza SP Tar'!$C:$C,'Plaza SP Tar'!H:H)</f>
        <v>8474428.4534378368</v>
      </c>
      <c r="L506" s="1">
        <v>30000</v>
      </c>
      <c r="M506" s="1">
        <f>_xlfn.XLOOKUP($C506,'Plaza SP Tar'!$C:$C,'Plaza SP Tar'!I:I)</f>
        <v>9180630.8245576583</v>
      </c>
      <c r="N506" s="1">
        <v>40000</v>
      </c>
      <c r="O506" s="1">
        <f>_xlfn.XLOOKUP($C506,'Plaza SP Tar'!$C:$C,'Plaza SP Tar'!J:J)</f>
        <v>9886833.195677476</v>
      </c>
      <c r="P506" s="1">
        <v>45000</v>
      </c>
      <c r="Q506" s="1">
        <f>_xlfn.XLOOKUP($C506,'Plaza SP Tar'!$C:$C,'Plaza SP Tar'!K:K)</f>
        <v>10593035.566797297</v>
      </c>
      <c r="R506">
        <v>50000</v>
      </c>
    </row>
    <row r="507" spans="1:18" x14ac:dyDescent="0.25">
      <c r="A507" t="s">
        <v>528</v>
      </c>
      <c r="B507" t="s">
        <v>546</v>
      </c>
      <c r="C507" t="s">
        <v>551</v>
      </c>
      <c r="D507" s="1">
        <v>3587180</v>
      </c>
      <c r="E507" s="1">
        <f>_xlfn.XLOOKUP($C507,'Plaza SP Tar'!$C:$C,'Plaza SP Tar'!E:E)</f>
        <v>3915521.7810700643</v>
      </c>
      <c r="F507" s="1">
        <v>10000</v>
      </c>
      <c r="G507" s="1">
        <f>_xlfn.XLOOKUP($C507,'Plaza SP Tar'!$C:$C,'Plaza SP Tar'!F:F)</f>
        <v>4474882.0355086448</v>
      </c>
      <c r="H507" s="1">
        <v>18000</v>
      </c>
      <c r="I507" s="1">
        <f>_xlfn.XLOOKUP($C507,'Plaza SP Tar'!$C:$C,'Plaza SP Tar'!G:G)</f>
        <v>4922370.2390595088</v>
      </c>
      <c r="J507" s="1">
        <v>25000</v>
      </c>
      <c r="K507" s="1">
        <f>_xlfn.XLOOKUP($C507,'Plaza SP Tar'!$C:$C,'Plaza SP Tar'!H:H)</f>
        <v>5369858.4426103737</v>
      </c>
      <c r="L507" s="1">
        <v>30000</v>
      </c>
      <c r="M507" s="1">
        <f>_xlfn.XLOOKUP($C507,'Plaza SP Tar'!$C:$C,'Plaza SP Tar'!I:I)</f>
        <v>5817346.6461612377</v>
      </c>
      <c r="N507" s="1">
        <v>40000</v>
      </c>
      <c r="O507" s="1">
        <f>_xlfn.XLOOKUP($C507,'Plaza SP Tar'!$C:$C,'Plaza SP Tar'!J:J)</f>
        <v>6264834.8497121017</v>
      </c>
      <c r="P507" s="1">
        <v>45000</v>
      </c>
      <c r="Q507" s="1">
        <f>_xlfn.XLOOKUP($C507,'Plaza SP Tar'!$C:$C,'Plaza SP Tar'!K:K)</f>
        <v>6712323.0532629667</v>
      </c>
      <c r="R507">
        <v>50000</v>
      </c>
    </row>
    <row r="508" spans="1:18" x14ac:dyDescent="0.25">
      <c r="A508" t="s">
        <v>528</v>
      </c>
      <c r="B508" t="s">
        <v>546</v>
      </c>
      <c r="C508" t="s">
        <v>552</v>
      </c>
      <c r="D508" s="1">
        <v>1700001</v>
      </c>
      <c r="E508" s="1">
        <f>_xlfn.XLOOKUP($C508,'Plaza SP Tar'!$C:$C,'Plaza SP Tar'!E:E)</f>
        <v>1855605.5016310557</v>
      </c>
      <c r="F508" s="1">
        <v>10000</v>
      </c>
      <c r="G508" s="1">
        <f>_xlfn.XLOOKUP($C508,'Plaza SP Tar'!$C:$C,'Plaza SP Tar'!F:F)</f>
        <v>2120692.0018640636</v>
      </c>
      <c r="H508" s="1">
        <v>18000</v>
      </c>
      <c r="I508" s="1">
        <f>_xlfn.XLOOKUP($C508,'Plaza SP Tar'!$C:$C,'Plaza SP Tar'!G:G)</f>
        <v>2332761.2020504698</v>
      </c>
      <c r="J508" s="1">
        <v>25000</v>
      </c>
      <c r="K508" s="1">
        <f>_xlfn.XLOOKUP($C508,'Plaza SP Tar'!$C:$C,'Plaza SP Tar'!H:H)</f>
        <v>2544830.4022368761</v>
      </c>
      <c r="L508" s="1">
        <v>30000</v>
      </c>
      <c r="M508" s="1">
        <f>_xlfn.XLOOKUP($C508,'Plaza SP Tar'!$C:$C,'Plaza SP Tar'!I:I)</f>
        <v>2756899.6024232828</v>
      </c>
      <c r="N508" s="1">
        <v>40000</v>
      </c>
      <c r="O508" s="1">
        <f>_xlfn.XLOOKUP($C508,'Plaza SP Tar'!$C:$C,'Plaza SP Tar'!J:J)</f>
        <v>2968968.8026096886</v>
      </c>
      <c r="P508" s="1">
        <v>45000</v>
      </c>
      <c r="Q508" s="1">
        <f>_xlfn.XLOOKUP($C508,'Plaza SP Tar'!$C:$C,'Plaza SP Tar'!K:K)</f>
        <v>3181038.0027960953</v>
      </c>
      <c r="R508">
        <v>50000</v>
      </c>
    </row>
    <row r="509" spans="1:18" x14ac:dyDescent="0.25">
      <c r="A509" t="s">
        <v>528</v>
      </c>
      <c r="B509" t="s">
        <v>546</v>
      </c>
      <c r="C509" t="s">
        <v>553</v>
      </c>
      <c r="D509" s="1">
        <v>4459946</v>
      </c>
      <c r="E509" s="1">
        <f>_xlfn.XLOOKUP($C509,'Plaza SP Tar'!$C:$C,'Plaza SP Tar'!E:E)</f>
        <v>4868173.8037668336</v>
      </c>
      <c r="F509" s="1">
        <v>10000</v>
      </c>
      <c r="G509" s="1">
        <f>_xlfn.XLOOKUP($C509,'Plaza SP Tar'!$C:$C,'Plaza SP Tar'!F:F)</f>
        <v>5563627.2043049522</v>
      </c>
      <c r="H509" s="1">
        <v>18000</v>
      </c>
      <c r="I509" s="1">
        <f>_xlfn.XLOOKUP($C509,'Plaza SP Tar'!$C:$C,'Plaza SP Tar'!G:G)</f>
        <v>6119989.9247354465</v>
      </c>
      <c r="J509" s="1">
        <v>25000</v>
      </c>
      <c r="K509" s="1">
        <f>_xlfn.XLOOKUP($C509,'Plaza SP Tar'!$C:$C,'Plaza SP Tar'!H:H)</f>
        <v>6676352.6451659426</v>
      </c>
      <c r="L509" s="1">
        <v>30000</v>
      </c>
      <c r="M509" s="1">
        <f>_xlfn.XLOOKUP($C509,'Plaza SP Tar'!$C:$C,'Plaza SP Tar'!I:I)</f>
        <v>7232715.3655964378</v>
      </c>
      <c r="N509" s="1">
        <v>40000</v>
      </c>
      <c r="O509" s="1">
        <f>_xlfn.XLOOKUP($C509,'Plaza SP Tar'!$C:$C,'Plaza SP Tar'!J:J)</f>
        <v>7789078.0860269321</v>
      </c>
      <c r="P509" s="1">
        <v>45000</v>
      </c>
      <c r="Q509" s="1">
        <f>_xlfn.XLOOKUP($C509,'Plaza SP Tar'!$C:$C,'Plaza SP Tar'!K:K)</f>
        <v>8345440.8064574273</v>
      </c>
      <c r="R509">
        <v>50000</v>
      </c>
    </row>
    <row r="510" spans="1:18" x14ac:dyDescent="0.25">
      <c r="A510" t="s">
        <v>528</v>
      </c>
      <c r="B510" t="s">
        <v>546</v>
      </c>
      <c r="C510" t="s">
        <v>554</v>
      </c>
      <c r="D510" s="1">
        <v>4180206</v>
      </c>
      <c r="E510" s="1">
        <f>_xlfn.XLOOKUP($C510,'Plaza SP Tar'!$C:$C,'Plaza SP Tar'!E:E)</f>
        <v>4562828.640425005</v>
      </c>
      <c r="F510" s="1">
        <v>10000</v>
      </c>
      <c r="G510" s="1">
        <f>_xlfn.XLOOKUP($C510,'Plaza SP Tar'!$C:$C,'Plaza SP Tar'!F:F)</f>
        <v>5214661.303342863</v>
      </c>
      <c r="H510" s="1">
        <v>18000</v>
      </c>
      <c r="I510" s="1">
        <f>_xlfn.XLOOKUP($C510,'Plaza SP Tar'!$C:$C,'Plaza SP Tar'!G:G)</f>
        <v>5736127.4336771481</v>
      </c>
      <c r="J510" s="1">
        <v>25000</v>
      </c>
      <c r="K510" s="1">
        <f>_xlfn.XLOOKUP($C510,'Plaza SP Tar'!$C:$C,'Plaza SP Tar'!H:H)</f>
        <v>6257593.564011435</v>
      </c>
      <c r="L510" s="1">
        <v>30000</v>
      </c>
      <c r="M510" s="1">
        <f>_xlfn.XLOOKUP($C510,'Plaza SP Tar'!$C:$C,'Plaza SP Tar'!I:I)</f>
        <v>6779059.694345721</v>
      </c>
      <c r="N510" s="1">
        <v>40000</v>
      </c>
      <c r="O510" s="1">
        <f>_xlfn.XLOOKUP($C510,'Plaza SP Tar'!$C:$C,'Plaza SP Tar'!J:J)</f>
        <v>7300525.8246800071</v>
      </c>
      <c r="P510" s="1">
        <v>45000</v>
      </c>
      <c r="Q510" s="1">
        <f>_xlfn.XLOOKUP($C510,'Plaza SP Tar'!$C:$C,'Plaza SP Tar'!K:K)</f>
        <v>7821991.9550142931</v>
      </c>
      <c r="R510">
        <v>50000</v>
      </c>
    </row>
    <row r="511" spans="1:18" x14ac:dyDescent="0.25">
      <c r="A511" t="s">
        <v>528</v>
      </c>
      <c r="B511" t="s">
        <v>546</v>
      </c>
      <c r="C511" t="s">
        <v>555</v>
      </c>
      <c r="D511" s="1">
        <v>4739334</v>
      </c>
      <c r="E511" s="1">
        <f>_xlfn.XLOOKUP($C511,'Plaza SP Tar'!$C:$C,'Plaza SP Tar'!E:E)</f>
        <v>5173134.7478425708</v>
      </c>
      <c r="F511" s="1">
        <v>10000</v>
      </c>
      <c r="G511" s="1">
        <f>_xlfn.XLOOKUP($C511,'Plaza SP Tar'!$C:$C,'Plaza SP Tar'!F:F)</f>
        <v>5912153.9975343663</v>
      </c>
      <c r="H511" s="1">
        <v>18000</v>
      </c>
      <c r="I511" s="1">
        <f>_xlfn.XLOOKUP($C511,'Plaza SP Tar'!$C:$C,'Plaza SP Tar'!G:G)</f>
        <v>6503369.3972878018</v>
      </c>
      <c r="J511" s="1">
        <v>25000</v>
      </c>
      <c r="K511" s="1">
        <f>_xlfn.XLOOKUP($C511,'Plaza SP Tar'!$C:$C,'Plaza SP Tar'!H:H)</f>
        <v>7094584.7970412392</v>
      </c>
      <c r="L511" s="1">
        <v>30000</v>
      </c>
      <c r="M511" s="1">
        <f>_xlfn.XLOOKUP($C511,'Plaza SP Tar'!$C:$C,'Plaza SP Tar'!I:I)</f>
        <v>7685800.1967946757</v>
      </c>
      <c r="N511" s="1">
        <v>40000</v>
      </c>
      <c r="O511" s="1">
        <f>_xlfn.XLOOKUP($C511,'Plaza SP Tar'!$C:$C,'Plaza SP Tar'!J:J)</f>
        <v>8277015.5965481121</v>
      </c>
      <c r="P511" s="1">
        <v>45000</v>
      </c>
      <c r="Q511" s="1">
        <f>_xlfn.XLOOKUP($C511,'Plaza SP Tar'!$C:$C,'Plaza SP Tar'!K:K)</f>
        <v>8868230.9963015486</v>
      </c>
      <c r="R511">
        <v>50000</v>
      </c>
    </row>
    <row r="512" spans="1:18" x14ac:dyDescent="0.25">
      <c r="A512" t="s">
        <v>528</v>
      </c>
      <c r="B512" t="s">
        <v>546</v>
      </c>
      <c r="C512" t="s">
        <v>556</v>
      </c>
      <c r="D512" s="1">
        <v>3912796</v>
      </c>
      <c r="E512" s="1">
        <f>_xlfn.XLOOKUP($C512,'Plaza SP Tar'!$C:$C,'Plaza SP Tar'!E:E)</f>
        <v>4270942.0667164242</v>
      </c>
      <c r="F512" s="1">
        <v>10000</v>
      </c>
      <c r="G512" s="1">
        <f>_xlfn.XLOOKUP($C512,'Plaza SP Tar'!$C:$C,'Plaza SP Tar'!F:F)</f>
        <v>4881076.6476759138</v>
      </c>
      <c r="H512" s="1">
        <v>18000</v>
      </c>
      <c r="I512" s="1">
        <f>_xlfn.XLOOKUP($C512,'Plaza SP Tar'!$C:$C,'Plaza SP Tar'!G:G)</f>
        <v>5369184.3124435041</v>
      </c>
      <c r="J512" s="1">
        <v>25000</v>
      </c>
      <c r="K512" s="1">
        <f>_xlfn.XLOOKUP($C512,'Plaza SP Tar'!$C:$C,'Plaza SP Tar'!H:H)</f>
        <v>5857291.9772110954</v>
      </c>
      <c r="L512" s="1">
        <v>30000</v>
      </c>
      <c r="M512" s="1">
        <f>_xlfn.XLOOKUP($C512,'Plaza SP Tar'!$C:$C,'Plaza SP Tar'!I:I)</f>
        <v>6345399.6419786876</v>
      </c>
      <c r="N512" s="1">
        <v>40000</v>
      </c>
      <c r="O512" s="1">
        <f>_xlfn.XLOOKUP($C512,'Plaza SP Tar'!$C:$C,'Plaza SP Tar'!J:J)</f>
        <v>6833507.306746278</v>
      </c>
      <c r="P512" s="1">
        <v>45000</v>
      </c>
      <c r="Q512" s="1">
        <f>_xlfn.XLOOKUP($C512,'Plaza SP Tar'!$C:$C,'Plaza SP Tar'!K:K)</f>
        <v>7321614.9715138702</v>
      </c>
      <c r="R512">
        <v>50000</v>
      </c>
    </row>
    <row r="513" spans="1:18" x14ac:dyDescent="0.25">
      <c r="A513" t="s">
        <v>528</v>
      </c>
      <c r="B513" t="s">
        <v>546</v>
      </c>
      <c r="C513" t="s">
        <v>557</v>
      </c>
      <c r="D513" s="1">
        <v>6713625</v>
      </c>
      <c r="E513" s="1">
        <f>_xlfn.XLOOKUP($C513,'Plaza SP Tar'!$C:$C,'Plaza SP Tar'!E:E)</f>
        <v>7328136.5633830782</v>
      </c>
      <c r="F513" s="1">
        <v>10000</v>
      </c>
      <c r="G513" s="1">
        <f>_xlfn.XLOOKUP($C513,'Plaza SP Tar'!$C:$C,'Plaza SP Tar'!F:F)</f>
        <v>8375013.215294946</v>
      </c>
      <c r="H513" s="1">
        <v>18000</v>
      </c>
      <c r="I513" s="1">
        <f>_xlfn.XLOOKUP($C513,'Plaza SP Tar'!$C:$C,'Plaza SP Tar'!G:G)</f>
        <v>9212514.5368244406</v>
      </c>
      <c r="J513" s="1">
        <v>25000</v>
      </c>
      <c r="K513" s="1">
        <f>_xlfn.XLOOKUP($C513,'Plaza SP Tar'!$C:$C,'Plaza SP Tar'!H:H)</f>
        <v>10050015.858353935</v>
      </c>
      <c r="L513" s="1">
        <v>30000</v>
      </c>
      <c r="M513" s="1">
        <f>_xlfn.XLOOKUP($C513,'Plaza SP Tar'!$C:$C,'Plaza SP Tar'!I:I)</f>
        <v>10887517.17988343</v>
      </c>
      <c r="N513" s="1">
        <v>40000</v>
      </c>
      <c r="O513" s="1">
        <f>_xlfn.XLOOKUP($C513,'Plaza SP Tar'!$C:$C,'Plaza SP Tar'!J:J)</f>
        <v>11725018.501412924</v>
      </c>
      <c r="P513" s="1">
        <v>45000</v>
      </c>
      <c r="Q513" s="1">
        <f>_xlfn.XLOOKUP($C513,'Plaza SP Tar'!$C:$C,'Plaza SP Tar'!K:K)</f>
        <v>12562519.822942419</v>
      </c>
      <c r="R513">
        <v>50000</v>
      </c>
    </row>
    <row r="514" spans="1:18" x14ac:dyDescent="0.25">
      <c r="A514" t="s">
        <v>528</v>
      </c>
      <c r="B514" t="s">
        <v>546</v>
      </c>
      <c r="C514" t="s">
        <v>558</v>
      </c>
      <c r="D514" s="1">
        <v>3510460</v>
      </c>
      <c r="E514" s="1">
        <f>_xlfn.XLOOKUP($C514,'Plaza SP Tar'!$C:$C,'Plaza SP Tar'!E:E)</f>
        <v>3831779.4455742999</v>
      </c>
      <c r="F514" s="1">
        <v>10000</v>
      </c>
      <c r="G514" s="1">
        <f>_xlfn.XLOOKUP($C514,'Plaza SP Tar'!$C:$C,'Plaza SP Tar'!F:F)</f>
        <v>4379176.5092277713</v>
      </c>
      <c r="H514" s="1">
        <v>18000</v>
      </c>
      <c r="I514" s="1">
        <f>_xlfn.XLOOKUP($C514,'Plaza SP Tar'!$C:$C,'Plaza SP Tar'!G:G)</f>
        <v>4817094.1601505484</v>
      </c>
      <c r="J514" s="1">
        <v>25000</v>
      </c>
      <c r="K514" s="1">
        <f>_xlfn.XLOOKUP($C514,'Plaza SP Tar'!$C:$C,'Plaza SP Tar'!H:H)</f>
        <v>5255011.8110733256</v>
      </c>
      <c r="L514" s="1">
        <v>30000</v>
      </c>
      <c r="M514" s="1">
        <f>_xlfn.XLOOKUP($C514,'Plaza SP Tar'!$C:$C,'Plaza SP Tar'!I:I)</f>
        <v>5692929.4619961027</v>
      </c>
      <c r="N514" s="1">
        <v>40000</v>
      </c>
      <c r="O514" s="1">
        <f>_xlfn.XLOOKUP($C514,'Plaza SP Tar'!$C:$C,'Plaza SP Tar'!J:J)</f>
        <v>6130847.1129188798</v>
      </c>
      <c r="P514" s="1">
        <v>45000</v>
      </c>
      <c r="Q514" s="1">
        <f>_xlfn.XLOOKUP($C514,'Plaza SP Tar'!$C:$C,'Plaza SP Tar'!K:K)</f>
        <v>6568764.763841657</v>
      </c>
      <c r="R514">
        <v>50000</v>
      </c>
    </row>
    <row r="515" spans="1:18" x14ac:dyDescent="0.25">
      <c r="A515" t="s">
        <v>528</v>
      </c>
      <c r="B515" t="s">
        <v>546</v>
      </c>
      <c r="C515" t="s">
        <v>559</v>
      </c>
      <c r="D515" s="1">
        <v>3554508</v>
      </c>
      <c r="E515" s="1">
        <f>_xlfn.XLOOKUP($C515,'Plaza SP Tar'!$C:$C,'Plaza SP Tar'!E:E)</f>
        <v>3879859.2473719725</v>
      </c>
      <c r="F515" s="1">
        <v>10000</v>
      </c>
      <c r="G515" s="1">
        <f>_xlfn.XLOOKUP($C515,'Plaza SP Tar'!$C:$C,'Plaza SP Tar'!F:F)</f>
        <v>4434124.8541393969</v>
      </c>
      <c r="H515" s="1">
        <v>18000</v>
      </c>
      <c r="I515" s="1">
        <f>_xlfn.XLOOKUP($C515,'Plaza SP Tar'!$C:$C,'Plaza SP Tar'!G:G)</f>
        <v>4877537.3395533357</v>
      </c>
      <c r="J515" s="1">
        <v>25000</v>
      </c>
      <c r="K515" s="1">
        <f>_xlfn.XLOOKUP($C515,'Plaza SP Tar'!$C:$C,'Plaza SP Tar'!H:H)</f>
        <v>5320949.8249672763</v>
      </c>
      <c r="L515" s="1">
        <v>30000</v>
      </c>
      <c r="M515" s="1">
        <f>_xlfn.XLOOKUP($C515,'Plaza SP Tar'!$C:$C,'Plaza SP Tar'!I:I)</f>
        <v>5764362.310381216</v>
      </c>
      <c r="N515" s="1">
        <v>40000</v>
      </c>
      <c r="O515" s="1">
        <f>_xlfn.XLOOKUP($C515,'Plaza SP Tar'!$C:$C,'Plaza SP Tar'!J:J)</f>
        <v>6207774.7957951548</v>
      </c>
      <c r="P515" s="1">
        <v>45000</v>
      </c>
      <c r="Q515" s="1">
        <f>_xlfn.XLOOKUP($C515,'Plaza SP Tar'!$C:$C,'Plaza SP Tar'!K:K)</f>
        <v>6651187.2812090954</v>
      </c>
      <c r="R515">
        <v>50000</v>
      </c>
    </row>
    <row r="516" spans="1:18" x14ac:dyDescent="0.25">
      <c r="A516" t="s">
        <v>528</v>
      </c>
      <c r="B516" t="s">
        <v>546</v>
      </c>
      <c r="C516" t="s">
        <v>560</v>
      </c>
      <c r="D516" s="1">
        <v>3335771</v>
      </c>
      <c r="E516" s="1">
        <f>_xlfn.XLOOKUP($C516,'Plaza SP Tar'!$C:$C,'Plaza SP Tar'!E:E)</f>
        <v>3641100.8109885394</v>
      </c>
      <c r="F516" s="1">
        <v>10000</v>
      </c>
      <c r="G516" s="1">
        <f>_xlfn.XLOOKUP($C516,'Plaza SP Tar'!$C:$C,'Plaza SP Tar'!F:F)</f>
        <v>4161258.0697011878</v>
      </c>
      <c r="H516" s="1">
        <v>18000</v>
      </c>
      <c r="I516" s="1">
        <f>_xlfn.XLOOKUP($C516,'Plaza SP Tar'!$C:$C,'Plaza SP Tar'!G:G)</f>
        <v>4577383.8766713059</v>
      </c>
      <c r="J516" s="1">
        <v>25000</v>
      </c>
      <c r="K516" s="1">
        <f>_xlfn.XLOOKUP($C516,'Plaza SP Tar'!$C:$C,'Plaza SP Tar'!H:H)</f>
        <v>4993509.6836414253</v>
      </c>
      <c r="L516" s="1">
        <v>30000</v>
      </c>
      <c r="M516" s="1">
        <f>_xlfn.XLOOKUP($C516,'Plaza SP Tar'!$C:$C,'Plaza SP Tar'!I:I)</f>
        <v>5409635.4906115439</v>
      </c>
      <c r="N516" s="1">
        <v>40000</v>
      </c>
      <c r="O516" s="1">
        <f>_xlfn.XLOOKUP($C516,'Plaza SP Tar'!$C:$C,'Plaza SP Tar'!J:J)</f>
        <v>5825761.2975816624</v>
      </c>
      <c r="P516" s="1">
        <v>45000</v>
      </c>
      <c r="Q516" s="1">
        <f>_xlfn.XLOOKUP($C516,'Plaza SP Tar'!$C:$C,'Plaza SP Tar'!K:K)</f>
        <v>6241887.1045517819</v>
      </c>
      <c r="R516">
        <v>50000</v>
      </c>
    </row>
    <row r="517" spans="1:18" x14ac:dyDescent="0.25">
      <c r="A517" t="s">
        <v>528</v>
      </c>
      <c r="B517" t="s">
        <v>546</v>
      </c>
      <c r="C517" t="s">
        <v>561</v>
      </c>
      <c r="D517" s="1">
        <v>8716188</v>
      </c>
      <c r="E517" s="1">
        <f>_xlfn.XLOOKUP($C517,'Plaza SP Tar'!$C:$C,'Plaza SP Tar'!E:E)</f>
        <v>9513998.1717955396</v>
      </c>
      <c r="F517" s="1">
        <v>10000</v>
      </c>
      <c r="G517" s="1">
        <f>_xlfn.XLOOKUP($C517,'Plaza SP Tar'!$C:$C,'Plaza SP Tar'!F:F)</f>
        <v>10873140.76776633</v>
      </c>
      <c r="H517" s="1">
        <v>18000</v>
      </c>
      <c r="I517" s="1">
        <f>_xlfn.XLOOKUP($C517,'Plaza SP Tar'!$C:$C,'Plaza SP Tar'!G:G)</f>
        <v>11960454.844542962</v>
      </c>
      <c r="J517" s="1">
        <v>25000</v>
      </c>
      <c r="K517" s="1">
        <f>_xlfn.XLOOKUP($C517,'Plaza SP Tar'!$C:$C,'Plaza SP Tar'!H:H)</f>
        <v>13047768.921319595</v>
      </c>
      <c r="L517" s="1">
        <v>30000</v>
      </c>
      <c r="M517" s="1">
        <f>_xlfn.XLOOKUP($C517,'Plaza SP Tar'!$C:$C,'Plaza SP Tar'!I:I)</f>
        <v>14135082.99809623</v>
      </c>
      <c r="N517" s="1">
        <v>40000</v>
      </c>
      <c r="O517" s="1">
        <f>_xlfn.XLOOKUP($C517,'Plaza SP Tar'!$C:$C,'Plaza SP Tar'!J:J)</f>
        <v>15222397.074872861</v>
      </c>
      <c r="P517" s="1">
        <v>45000</v>
      </c>
      <c r="Q517" s="1">
        <f>_xlfn.XLOOKUP($C517,'Plaza SP Tar'!$C:$C,'Plaza SP Tar'!K:K)</f>
        <v>16309711.151649494</v>
      </c>
      <c r="R517">
        <v>50000</v>
      </c>
    </row>
    <row r="518" spans="1:18" x14ac:dyDescent="0.25">
      <c r="A518" t="s">
        <v>528</v>
      </c>
      <c r="B518" t="s">
        <v>562</v>
      </c>
      <c r="C518" t="s">
        <v>563</v>
      </c>
      <c r="D518" s="1">
        <v>3189091</v>
      </c>
      <c r="E518" s="1">
        <f>_xlfn.XLOOKUP($C518,'Plaza SP Tar'!$C:$C,'Plaza SP Tar'!E:E)</f>
        <v>3480994.8963571698</v>
      </c>
      <c r="F518" s="1">
        <v>10000</v>
      </c>
      <c r="G518" s="1">
        <f>_xlfn.XLOOKUP($C518,'Plaza SP Tar'!$C:$C,'Plaza SP Tar'!F:F)</f>
        <v>3978279.881551051</v>
      </c>
      <c r="H518" s="1">
        <v>18000</v>
      </c>
      <c r="I518" s="1">
        <f>_xlfn.XLOOKUP($C518,'Plaza SP Tar'!$C:$C,'Plaza SP Tar'!G:G)</f>
        <v>4376107.8697061557</v>
      </c>
      <c r="J518" s="1">
        <v>25000</v>
      </c>
      <c r="K518" s="1">
        <f>_xlfn.XLOOKUP($C518,'Plaza SP Tar'!$C:$C,'Plaza SP Tar'!H:H)</f>
        <v>4773935.8578612609</v>
      </c>
      <c r="L518" s="1">
        <v>30000</v>
      </c>
      <c r="M518" s="1">
        <f>_xlfn.XLOOKUP($C518,'Plaza SP Tar'!$C:$C,'Plaza SP Tar'!I:I)</f>
        <v>5171763.846016366</v>
      </c>
      <c r="N518" s="1">
        <v>40000</v>
      </c>
      <c r="O518" s="1">
        <f>_xlfn.XLOOKUP($C518,'Plaza SP Tar'!$C:$C,'Plaza SP Tar'!J:J)</f>
        <v>5569591.8341714712</v>
      </c>
      <c r="P518" s="1">
        <v>45000</v>
      </c>
      <c r="Q518" s="1">
        <f>_xlfn.XLOOKUP($C518,'Plaza SP Tar'!$C:$C,'Plaza SP Tar'!K:K)</f>
        <v>5967419.8223265763</v>
      </c>
      <c r="R518">
        <v>50000</v>
      </c>
    </row>
    <row r="519" spans="1:18" x14ac:dyDescent="0.25">
      <c r="A519" t="s">
        <v>528</v>
      </c>
      <c r="B519" t="s">
        <v>562</v>
      </c>
      <c r="C519" t="s">
        <v>564</v>
      </c>
      <c r="D519" s="1">
        <v>1700000</v>
      </c>
      <c r="E519" s="1">
        <f>_xlfn.XLOOKUP($C519,'Plaza SP Tar'!$C:$C,'Plaza SP Tar'!E:E)</f>
        <v>1855604.4100990498</v>
      </c>
      <c r="F519" s="1">
        <v>10000</v>
      </c>
      <c r="G519" s="1">
        <f>_xlfn.XLOOKUP($C519,'Plaza SP Tar'!$C:$C,'Plaza SP Tar'!F:F)</f>
        <v>2120690.7543989141</v>
      </c>
      <c r="H519" s="1">
        <v>18000</v>
      </c>
      <c r="I519" s="1">
        <f>_xlfn.XLOOKUP($C519,'Plaza SP Tar'!$C:$C,'Plaza SP Tar'!G:G)</f>
        <v>2332759.8298388049</v>
      </c>
      <c r="J519" s="1">
        <v>25000</v>
      </c>
      <c r="K519" s="1">
        <f>_xlfn.XLOOKUP($C519,'Plaza SP Tar'!$C:$C,'Plaza SP Tar'!H:H)</f>
        <v>2544828.9052786967</v>
      </c>
      <c r="L519" s="1">
        <v>30000</v>
      </c>
      <c r="M519" s="1">
        <f>_xlfn.XLOOKUP($C519,'Plaza SP Tar'!$C:$C,'Plaza SP Tar'!I:I)</f>
        <v>2756897.980718588</v>
      </c>
      <c r="N519" s="1">
        <v>40000</v>
      </c>
      <c r="O519" s="1">
        <f>_xlfn.XLOOKUP($C519,'Plaza SP Tar'!$C:$C,'Plaza SP Tar'!J:J)</f>
        <v>2968967.0561584793</v>
      </c>
      <c r="P519" s="1">
        <v>45000</v>
      </c>
      <c r="Q519" s="1">
        <f>_xlfn.XLOOKUP($C519,'Plaza SP Tar'!$C:$C,'Plaza SP Tar'!K:K)</f>
        <v>3181036.1315983706</v>
      </c>
      <c r="R519">
        <v>50000</v>
      </c>
    </row>
    <row r="520" spans="1:18" x14ac:dyDescent="0.25">
      <c r="A520" t="s">
        <v>528</v>
      </c>
      <c r="B520" t="s">
        <v>562</v>
      </c>
      <c r="C520" t="s">
        <v>565</v>
      </c>
      <c r="D520" s="1">
        <v>5140156</v>
      </c>
      <c r="E520" s="1">
        <f>_xlfn.XLOOKUP($C520,'Plaza SP Tar'!$C:$C,'Plaza SP Tar'!E:E)</f>
        <v>5610644.7895277003</v>
      </c>
      <c r="F520" s="1">
        <v>10000</v>
      </c>
      <c r="G520" s="1">
        <f>_xlfn.XLOOKUP($C520,'Plaza SP Tar'!$C:$C,'Plaza SP Tar'!F:F)</f>
        <v>6412165.473745943</v>
      </c>
      <c r="H520" s="1">
        <v>18000</v>
      </c>
      <c r="I520" s="1">
        <f>_xlfn.XLOOKUP($C520,'Plaza SP Tar'!$C:$C,'Plaza SP Tar'!G:G)</f>
        <v>7053382.0211205371</v>
      </c>
      <c r="J520" s="1">
        <v>25000</v>
      </c>
      <c r="K520" s="1">
        <f>_xlfn.XLOOKUP($C520,'Plaza SP Tar'!$C:$C,'Plaza SP Tar'!H:H)</f>
        <v>7694598.568495132</v>
      </c>
      <c r="L520" s="1">
        <v>30000</v>
      </c>
      <c r="M520" s="1">
        <f>_xlfn.XLOOKUP($C520,'Plaza SP Tar'!$C:$C,'Plaza SP Tar'!I:I)</f>
        <v>8335815.1158697261</v>
      </c>
      <c r="N520" s="1">
        <v>40000</v>
      </c>
      <c r="O520" s="1">
        <f>_xlfn.XLOOKUP($C520,'Plaza SP Tar'!$C:$C,'Plaza SP Tar'!J:J)</f>
        <v>8977031.6632443201</v>
      </c>
      <c r="P520" s="1">
        <v>45000</v>
      </c>
      <c r="Q520" s="1">
        <f>_xlfn.XLOOKUP($C520,'Plaza SP Tar'!$C:$C,'Plaza SP Tar'!K:K)</f>
        <v>9618248.210618915</v>
      </c>
      <c r="R520">
        <v>50000</v>
      </c>
    </row>
    <row r="521" spans="1:18" x14ac:dyDescent="0.25">
      <c r="A521" t="s">
        <v>528</v>
      </c>
      <c r="B521" t="s">
        <v>562</v>
      </c>
      <c r="C521" t="s">
        <v>566</v>
      </c>
      <c r="D521" s="1">
        <v>5206072</v>
      </c>
      <c r="E521" s="1">
        <f>_xlfn.XLOOKUP($C521,'Plaza SP Tar'!$C:$C,'Plaza SP Tar'!E:E)</f>
        <v>5682594.2132312823</v>
      </c>
      <c r="F521" s="1">
        <v>10000</v>
      </c>
      <c r="G521" s="1">
        <f>_xlfn.XLOOKUP($C521,'Plaza SP Tar'!$C:$C,'Plaza SP Tar'!F:F)</f>
        <v>6494393.3865500372</v>
      </c>
      <c r="H521" s="1">
        <v>18000</v>
      </c>
      <c r="I521" s="1">
        <f>_xlfn.XLOOKUP($C521,'Plaza SP Tar'!$C:$C,'Plaza SP Tar'!G:G)</f>
        <v>7143832.7252050396</v>
      </c>
      <c r="J521" s="1">
        <v>25000</v>
      </c>
      <c r="K521" s="1">
        <f>_xlfn.XLOOKUP($C521,'Plaza SP Tar'!$C:$C,'Plaza SP Tar'!H:H)</f>
        <v>7793272.0638600439</v>
      </c>
      <c r="L521" s="1">
        <v>30000</v>
      </c>
      <c r="M521" s="1">
        <f>_xlfn.XLOOKUP($C521,'Plaza SP Tar'!$C:$C,'Plaza SP Tar'!I:I)</f>
        <v>8442711.4025150482</v>
      </c>
      <c r="N521" s="1">
        <v>40000</v>
      </c>
      <c r="O521" s="1">
        <f>_xlfn.XLOOKUP($C521,'Plaza SP Tar'!$C:$C,'Plaza SP Tar'!J:J)</f>
        <v>9092150.7411700506</v>
      </c>
      <c r="P521" s="1">
        <v>45000</v>
      </c>
      <c r="Q521" s="1">
        <f>_xlfn.XLOOKUP($C521,'Plaza SP Tar'!$C:$C,'Plaza SP Tar'!K:K)</f>
        <v>9741590.0798250549</v>
      </c>
      <c r="R521">
        <v>50000</v>
      </c>
    </row>
    <row r="522" spans="1:18" x14ac:dyDescent="0.25">
      <c r="A522" t="s">
        <v>528</v>
      </c>
      <c r="B522" t="s">
        <v>562</v>
      </c>
      <c r="C522" t="s">
        <v>567</v>
      </c>
      <c r="D522" s="1">
        <v>3393494</v>
      </c>
      <c r="E522" s="1">
        <f>_xlfn.XLOOKUP($C522,'Plaza SP Tar'!$C:$C,'Plaza SP Tar'!E:E)</f>
        <v>3704107.3129674499</v>
      </c>
      <c r="F522" s="1">
        <v>10000</v>
      </c>
      <c r="G522" s="1">
        <f>_xlfn.XLOOKUP($C522,'Plaza SP Tar'!$C:$C,'Plaza SP Tar'!F:F)</f>
        <v>4233265.500534228</v>
      </c>
      <c r="H522" s="1">
        <v>18000</v>
      </c>
      <c r="I522" s="1">
        <f>_xlfn.XLOOKUP($C522,'Plaza SP Tar'!$C:$C,'Plaza SP Tar'!G:G)</f>
        <v>4656592.0505876504</v>
      </c>
      <c r="J522" s="1">
        <v>25000</v>
      </c>
      <c r="K522" s="1">
        <f>_xlfn.XLOOKUP($C522,'Plaza SP Tar'!$C:$C,'Plaza SP Tar'!H:H)</f>
        <v>5079918.6006410737</v>
      </c>
      <c r="L522" s="1">
        <v>30000</v>
      </c>
      <c r="M522" s="1">
        <f>_xlfn.XLOOKUP($C522,'Plaza SP Tar'!$C:$C,'Plaza SP Tar'!I:I)</f>
        <v>5503245.1506944969</v>
      </c>
      <c r="N522" s="1">
        <v>40000</v>
      </c>
      <c r="O522" s="1">
        <f>_xlfn.XLOOKUP($C522,'Plaza SP Tar'!$C:$C,'Plaza SP Tar'!J:J)</f>
        <v>5926571.7007479193</v>
      </c>
      <c r="P522" s="1">
        <v>45000</v>
      </c>
      <c r="Q522" s="1">
        <f>_xlfn.XLOOKUP($C522,'Plaza SP Tar'!$C:$C,'Plaza SP Tar'!K:K)</f>
        <v>6349898.2508013416</v>
      </c>
      <c r="R522">
        <v>50000</v>
      </c>
    </row>
    <row r="523" spans="1:18" x14ac:dyDescent="0.25">
      <c r="A523" t="s">
        <v>528</v>
      </c>
      <c r="B523" t="s">
        <v>562</v>
      </c>
      <c r="C523" t="s">
        <v>568</v>
      </c>
      <c r="D523" s="1">
        <v>3185216</v>
      </c>
      <c r="E523" s="1">
        <f>_xlfn.XLOOKUP($C523,'Plaza SP Tar'!$C:$C,'Plaza SP Tar'!E:E)</f>
        <v>3476765.20983415</v>
      </c>
      <c r="F523" s="1">
        <v>10000</v>
      </c>
      <c r="G523" s="1">
        <f>_xlfn.XLOOKUP($C523,'Plaza SP Tar'!$C:$C,'Plaza SP Tar'!F:F)</f>
        <v>3973445.9540961711</v>
      </c>
      <c r="H523" s="1">
        <v>18000</v>
      </c>
      <c r="I523" s="1">
        <f>_xlfn.XLOOKUP($C523,'Plaza SP Tar'!$C:$C,'Plaza SP Tar'!G:G)</f>
        <v>4370790.5495057879</v>
      </c>
      <c r="J523" s="1">
        <v>25000</v>
      </c>
      <c r="K523" s="1">
        <f>_xlfn.XLOOKUP($C523,'Plaza SP Tar'!$C:$C,'Plaza SP Tar'!H:H)</f>
        <v>4768135.1449154047</v>
      </c>
      <c r="L523" s="1">
        <v>30000</v>
      </c>
      <c r="M523" s="1">
        <f>_xlfn.XLOOKUP($C523,'Plaza SP Tar'!$C:$C,'Plaza SP Tar'!I:I)</f>
        <v>5165479.7403250225</v>
      </c>
      <c r="N523" s="1">
        <v>40000</v>
      </c>
      <c r="O523" s="1">
        <f>_xlfn.XLOOKUP($C523,'Plaza SP Tar'!$C:$C,'Plaza SP Tar'!J:J)</f>
        <v>5562824.3357346393</v>
      </c>
      <c r="P523" s="1">
        <v>45000</v>
      </c>
      <c r="Q523" s="1">
        <f>_xlfn.XLOOKUP($C523,'Plaza SP Tar'!$C:$C,'Plaza SP Tar'!K:K)</f>
        <v>5960168.9311442561</v>
      </c>
      <c r="R523">
        <v>50000</v>
      </c>
    </row>
    <row r="524" spans="1:18" x14ac:dyDescent="0.25">
      <c r="A524" t="s">
        <v>528</v>
      </c>
      <c r="B524" t="s">
        <v>562</v>
      </c>
      <c r="C524" t="s">
        <v>569</v>
      </c>
      <c r="D524" s="1">
        <v>1700000</v>
      </c>
      <c r="E524" s="1">
        <f>_xlfn.XLOOKUP($C524,'Plaza SP Tar'!$C:$C,'Plaza SP Tar'!E:E)</f>
        <v>1855604.4100990498</v>
      </c>
      <c r="F524" s="1">
        <v>10000</v>
      </c>
      <c r="G524" s="1">
        <f>_xlfn.XLOOKUP($C524,'Plaza SP Tar'!$C:$C,'Plaza SP Tar'!F:F)</f>
        <v>2120690.7543989141</v>
      </c>
      <c r="H524" s="1">
        <v>18000</v>
      </c>
      <c r="I524" s="1">
        <f>_xlfn.XLOOKUP($C524,'Plaza SP Tar'!$C:$C,'Plaza SP Tar'!G:G)</f>
        <v>2332759.8298388049</v>
      </c>
      <c r="J524" s="1">
        <v>25000</v>
      </c>
      <c r="K524" s="1">
        <f>_xlfn.XLOOKUP($C524,'Plaza SP Tar'!$C:$C,'Plaza SP Tar'!H:H)</f>
        <v>2544828.9052786967</v>
      </c>
      <c r="L524" s="1">
        <v>30000</v>
      </c>
      <c r="M524" s="1">
        <f>_xlfn.XLOOKUP($C524,'Plaza SP Tar'!$C:$C,'Plaza SP Tar'!I:I)</f>
        <v>2756897.980718588</v>
      </c>
      <c r="N524" s="1">
        <v>40000</v>
      </c>
      <c r="O524" s="1">
        <f>_xlfn.XLOOKUP($C524,'Plaza SP Tar'!$C:$C,'Plaza SP Tar'!J:J)</f>
        <v>2968967.0561584793</v>
      </c>
      <c r="P524" s="1">
        <v>45000</v>
      </c>
      <c r="Q524" s="1">
        <f>_xlfn.XLOOKUP($C524,'Plaza SP Tar'!$C:$C,'Plaza SP Tar'!K:K)</f>
        <v>3181036.1315983706</v>
      </c>
      <c r="R524">
        <v>50000</v>
      </c>
    </row>
    <row r="525" spans="1:18" x14ac:dyDescent="0.25">
      <c r="A525" t="s">
        <v>528</v>
      </c>
      <c r="B525" t="s">
        <v>562</v>
      </c>
      <c r="C525" t="s">
        <v>570</v>
      </c>
      <c r="D525" s="1">
        <v>6878003</v>
      </c>
      <c r="E525" s="1">
        <f>_xlfn.XLOOKUP($C525,'Plaza SP Tar'!$C:$C,'Plaza SP Tar'!E:E)</f>
        <v>7507560.4114555847</v>
      </c>
      <c r="F525" s="1">
        <v>10000</v>
      </c>
      <c r="G525" s="1">
        <f>_xlfn.XLOOKUP($C525,'Plaza SP Tar'!$C:$C,'Plaza SP Tar'!F:F)</f>
        <v>8580069.0416635256</v>
      </c>
      <c r="H525" s="1">
        <v>18000</v>
      </c>
      <c r="I525" s="1">
        <f>_xlfn.XLOOKUP($C525,'Plaza SP Tar'!$C:$C,'Plaza SP Tar'!G:G)</f>
        <v>9438075.9458298776</v>
      </c>
      <c r="J525" s="1">
        <v>25000</v>
      </c>
      <c r="K525" s="1">
        <f>_xlfn.XLOOKUP($C525,'Plaza SP Tar'!$C:$C,'Plaza SP Tar'!H:H)</f>
        <v>10296082.84999623</v>
      </c>
      <c r="L525" s="1">
        <v>30000</v>
      </c>
      <c r="M525" s="1">
        <f>_xlfn.XLOOKUP($C525,'Plaza SP Tar'!$C:$C,'Plaza SP Tar'!I:I)</f>
        <v>11154089.754162584</v>
      </c>
      <c r="N525" s="1">
        <v>40000</v>
      </c>
      <c r="O525" s="1">
        <f>_xlfn.XLOOKUP($C525,'Plaza SP Tar'!$C:$C,'Plaza SP Tar'!J:J)</f>
        <v>12012096.658328934</v>
      </c>
      <c r="P525" s="1">
        <v>45000</v>
      </c>
      <c r="Q525" s="1">
        <f>_xlfn.XLOOKUP($C525,'Plaza SP Tar'!$C:$C,'Plaza SP Tar'!K:K)</f>
        <v>12870103.562495288</v>
      </c>
      <c r="R525">
        <v>50000</v>
      </c>
    </row>
    <row r="526" spans="1:18" x14ac:dyDescent="0.25">
      <c r="A526" t="s">
        <v>528</v>
      </c>
      <c r="B526" t="s">
        <v>562</v>
      </c>
      <c r="C526" t="s">
        <v>571</v>
      </c>
      <c r="D526" s="1">
        <v>4539485</v>
      </c>
      <c r="E526" s="1">
        <f>_xlfn.XLOOKUP($C526,'Plaza SP Tar'!$C:$C,'Plaza SP Tar'!E:E)</f>
        <v>4954993.1679873439</v>
      </c>
      <c r="F526" s="1">
        <v>10000</v>
      </c>
      <c r="G526" s="1">
        <f>_xlfn.XLOOKUP($C526,'Plaza SP Tar'!$C:$C,'Plaza SP Tar'!F:F)</f>
        <v>5662849.3348426791</v>
      </c>
      <c r="H526" s="1">
        <v>18000</v>
      </c>
      <c r="I526" s="1">
        <f>_xlfn.XLOOKUP($C526,'Plaza SP Tar'!$C:$C,'Plaza SP Tar'!G:G)</f>
        <v>6229134.2683269456</v>
      </c>
      <c r="J526" s="1">
        <v>25000</v>
      </c>
      <c r="K526" s="1">
        <f>_xlfn.XLOOKUP($C526,'Plaza SP Tar'!$C:$C,'Plaza SP Tar'!H:H)</f>
        <v>6795419.201811214</v>
      </c>
      <c r="L526" s="1">
        <v>30000</v>
      </c>
      <c r="M526" s="1">
        <f>_xlfn.XLOOKUP($C526,'Plaza SP Tar'!$C:$C,'Plaza SP Tar'!I:I)</f>
        <v>7361704.1352954824</v>
      </c>
      <c r="N526" s="1">
        <v>40000</v>
      </c>
      <c r="O526" s="1">
        <f>_xlfn.XLOOKUP($C526,'Plaza SP Tar'!$C:$C,'Plaza SP Tar'!J:J)</f>
        <v>7927989.0687797498</v>
      </c>
      <c r="P526" s="1">
        <v>45000</v>
      </c>
      <c r="Q526" s="1">
        <f>_xlfn.XLOOKUP($C526,'Plaza SP Tar'!$C:$C,'Plaza SP Tar'!K:K)</f>
        <v>8494274.0022640172</v>
      </c>
      <c r="R526">
        <v>50000</v>
      </c>
    </row>
    <row r="527" spans="1:18" x14ac:dyDescent="0.25">
      <c r="A527" t="s">
        <v>528</v>
      </c>
      <c r="B527" t="s">
        <v>562</v>
      </c>
      <c r="C527" t="s">
        <v>572</v>
      </c>
      <c r="D527" s="1">
        <v>4183189</v>
      </c>
      <c r="E527" s="1">
        <f>_xlfn.XLOOKUP($C527,'Plaza SP Tar'!$C:$C,'Plaza SP Tar'!E:E)</f>
        <v>4566084.6803987259</v>
      </c>
      <c r="F527" s="1">
        <v>10000</v>
      </c>
      <c r="G527" s="1">
        <f>_xlfn.XLOOKUP($C527,'Plaza SP Tar'!$C:$C,'Plaza SP Tar'!F:F)</f>
        <v>5218382.4918842576</v>
      </c>
      <c r="H527" s="1">
        <v>18000</v>
      </c>
      <c r="I527" s="1">
        <f>_xlfn.XLOOKUP($C527,'Plaza SP Tar'!$C:$C,'Plaza SP Tar'!G:G)</f>
        <v>5740220.7410726827</v>
      </c>
      <c r="J527" s="1">
        <v>25000</v>
      </c>
      <c r="K527" s="1">
        <f>_xlfn.XLOOKUP($C527,'Plaza SP Tar'!$C:$C,'Plaza SP Tar'!H:H)</f>
        <v>6262058.9902611095</v>
      </c>
      <c r="L527" s="1">
        <v>30000</v>
      </c>
      <c r="M527" s="1">
        <f>_xlfn.XLOOKUP($C527,'Plaza SP Tar'!$C:$C,'Plaza SP Tar'!I:I)</f>
        <v>6783897.2394495355</v>
      </c>
      <c r="N527" s="1">
        <v>40000</v>
      </c>
      <c r="O527" s="1">
        <f>_xlfn.XLOOKUP($C527,'Plaza SP Tar'!$C:$C,'Plaza SP Tar'!J:J)</f>
        <v>7305735.4886379605</v>
      </c>
      <c r="P527" s="1">
        <v>45000</v>
      </c>
      <c r="Q527" s="1">
        <f>_xlfn.XLOOKUP($C527,'Plaza SP Tar'!$C:$C,'Plaza SP Tar'!K:K)</f>
        <v>7827573.7378263865</v>
      </c>
      <c r="R527">
        <v>50000</v>
      </c>
    </row>
    <row r="528" spans="1:18" x14ac:dyDescent="0.25">
      <c r="A528" t="s">
        <v>528</v>
      </c>
      <c r="B528" t="s">
        <v>562</v>
      </c>
      <c r="C528" t="s">
        <v>573</v>
      </c>
      <c r="D528" s="1">
        <v>2283904</v>
      </c>
      <c r="E528" s="1">
        <f>_xlfn.XLOOKUP($C528,'Plaza SP Tar'!$C:$C,'Plaza SP Tar'!E:E)</f>
        <v>2492954.3144958001</v>
      </c>
      <c r="F528" s="1">
        <v>10000</v>
      </c>
      <c r="G528" s="1">
        <f>_xlfn.XLOOKUP($C528,'Plaza SP Tar'!$C:$C,'Plaza SP Tar'!F:F)</f>
        <v>2849090.6451380569</v>
      </c>
      <c r="H528" s="1">
        <v>18000</v>
      </c>
      <c r="I528" s="1">
        <f>_xlfn.XLOOKUP($C528,'Plaza SP Tar'!$C:$C,'Plaza SP Tar'!G:G)</f>
        <v>3133999.7096518627</v>
      </c>
      <c r="J528" s="1">
        <v>25000</v>
      </c>
      <c r="K528" s="1">
        <f>_xlfn.XLOOKUP($C528,'Plaza SP Tar'!$C:$C,'Plaza SP Tar'!H:H)</f>
        <v>3418908.7741656685</v>
      </c>
      <c r="L528" s="1">
        <v>30000</v>
      </c>
      <c r="M528" s="1">
        <f>_xlfn.XLOOKUP($C528,'Plaza SP Tar'!$C:$C,'Plaza SP Tar'!I:I)</f>
        <v>3703817.8386794743</v>
      </c>
      <c r="N528" s="1">
        <v>40000</v>
      </c>
      <c r="O528" s="1">
        <f>_xlfn.XLOOKUP($C528,'Plaza SP Tar'!$C:$C,'Plaza SP Tar'!J:J)</f>
        <v>3988726.9031932796</v>
      </c>
      <c r="P528" s="1">
        <v>45000</v>
      </c>
      <c r="Q528" s="1">
        <f>_xlfn.XLOOKUP($C528,'Plaza SP Tar'!$C:$C,'Plaza SP Tar'!K:K)</f>
        <v>4273635.9677070854</v>
      </c>
      <c r="R528">
        <v>50000</v>
      </c>
    </row>
    <row r="529" spans="1:18" x14ac:dyDescent="0.25">
      <c r="A529" t="s">
        <v>528</v>
      </c>
      <c r="B529" t="s">
        <v>562</v>
      </c>
      <c r="C529" t="s">
        <v>574</v>
      </c>
      <c r="D529" s="1">
        <v>4971325</v>
      </c>
      <c r="E529" s="1">
        <f>_xlfn.XLOOKUP($C529,'Plaza SP Tar'!$C:$C,'Plaza SP Tar'!E:E)</f>
        <v>5426360.3494327404</v>
      </c>
      <c r="F529" s="1">
        <v>10000</v>
      </c>
      <c r="G529" s="1">
        <f>_xlfn.XLOOKUP($C529,'Plaza SP Tar'!$C:$C,'Plaza SP Tar'!F:F)</f>
        <v>6201554.6850659885</v>
      </c>
      <c r="H529" s="1">
        <v>18000</v>
      </c>
      <c r="I529" s="1">
        <f>_xlfn.XLOOKUP($C529,'Plaza SP Tar'!$C:$C,'Plaza SP Tar'!G:G)</f>
        <v>6821710.1535725873</v>
      </c>
      <c r="J529" s="1">
        <v>25000</v>
      </c>
      <c r="K529" s="1">
        <f>_xlfn.XLOOKUP($C529,'Plaza SP Tar'!$C:$C,'Plaza SP Tar'!H:H)</f>
        <v>7441865.6220791861</v>
      </c>
      <c r="L529" s="1">
        <v>30000</v>
      </c>
      <c r="M529" s="1">
        <f>_xlfn.XLOOKUP($C529,'Plaza SP Tar'!$C:$C,'Plaza SP Tar'!I:I)</f>
        <v>8062021.090585785</v>
      </c>
      <c r="N529" s="1">
        <v>40000</v>
      </c>
      <c r="O529" s="1">
        <f>_xlfn.XLOOKUP($C529,'Plaza SP Tar'!$C:$C,'Plaza SP Tar'!J:J)</f>
        <v>8682176.5590923838</v>
      </c>
      <c r="P529" s="1">
        <v>45000</v>
      </c>
      <c r="Q529" s="1">
        <f>_xlfn.XLOOKUP($C529,'Plaza SP Tar'!$C:$C,'Plaza SP Tar'!K:K)</f>
        <v>9302332.0275989827</v>
      </c>
      <c r="R529">
        <v>50000</v>
      </c>
    </row>
    <row r="530" spans="1:18" x14ac:dyDescent="0.25">
      <c r="A530" t="s">
        <v>528</v>
      </c>
      <c r="B530" t="s">
        <v>562</v>
      </c>
      <c r="C530" t="s">
        <v>575</v>
      </c>
      <c r="D530" s="1">
        <v>3483725</v>
      </c>
      <c r="E530" s="1">
        <f>_xlfn.XLOOKUP($C530,'Plaza SP Tar'!$C:$C,'Plaza SP Tar'!E:E)</f>
        <v>3802597.3373954776</v>
      </c>
      <c r="F530" s="1">
        <v>10000</v>
      </c>
      <c r="G530" s="1">
        <f>_xlfn.XLOOKUP($C530,'Plaza SP Tar'!$C:$C,'Plaza SP Tar'!F:F)</f>
        <v>4345825.5284519745</v>
      </c>
      <c r="H530" s="1">
        <v>18000</v>
      </c>
      <c r="I530" s="1">
        <f>_xlfn.XLOOKUP($C530,'Plaza SP Tar'!$C:$C,'Plaza SP Tar'!G:G)</f>
        <v>4780408.0812971713</v>
      </c>
      <c r="J530" s="1">
        <v>25000</v>
      </c>
      <c r="K530" s="1">
        <f>_xlfn.XLOOKUP($C530,'Plaza SP Tar'!$C:$C,'Plaza SP Tar'!H:H)</f>
        <v>5214990.634142369</v>
      </c>
      <c r="L530" s="1">
        <v>30000</v>
      </c>
      <c r="M530" s="1">
        <f>_xlfn.XLOOKUP($C530,'Plaza SP Tar'!$C:$C,'Plaza SP Tar'!I:I)</f>
        <v>5649573.1869875668</v>
      </c>
      <c r="N530" s="1">
        <v>40000</v>
      </c>
      <c r="O530" s="1">
        <f>_xlfn.XLOOKUP($C530,'Plaza SP Tar'!$C:$C,'Plaza SP Tar'!J:J)</f>
        <v>6084155.7398327636</v>
      </c>
      <c r="P530" s="1">
        <v>45000</v>
      </c>
      <c r="Q530" s="1">
        <f>_xlfn.XLOOKUP($C530,'Plaza SP Tar'!$C:$C,'Plaza SP Tar'!K:K)</f>
        <v>6518738.2926779613</v>
      </c>
      <c r="R530">
        <v>50000</v>
      </c>
    </row>
    <row r="531" spans="1:18" x14ac:dyDescent="0.25">
      <c r="A531" t="s">
        <v>528</v>
      </c>
      <c r="B531" t="s">
        <v>562</v>
      </c>
      <c r="C531" t="s">
        <v>576</v>
      </c>
      <c r="D531" s="1">
        <v>5235138</v>
      </c>
      <c r="E531" s="1">
        <f>_xlfn.XLOOKUP($C531,'Plaza SP Tar'!$C:$C,'Plaza SP Tar'!E:E)</f>
        <v>5714320.6825159527</v>
      </c>
      <c r="F531" s="1">
        <v>10000</v>
      </c>
      <c r="G531" s="1">
        <f>_xlfn.XLOOKUP($C531,'Plaza SP Tar'!$C:$C,'Plaza SP Tar'!F:F)</f>
        <v>6530652.20858966</v>
      </c>
      <c r="H531" s="1">
        <v>18000</v>
      </c>
      <c r="I531" s="1">
        <f>_xlfn.XLOOKUP($C531,'Plaza SP Tar'!$C:$C,'Plaza SP Tar'!G:G)</f>
        <v>7183717.4294486251</v>
      </c>
      <c r="J531" s="1">
        <v>25000</v>
      </c>
      <c r="K531" s="1">
        <f>_xlfn.XLOOKUP($C531,'Plaza SP Tar'!$C:$C,'Plaza SP Tar'!H:H)</f>
        <v>7836782.6503075911</v>
      </c>
      <c r="L531" s="1">
        <v>30000</v>
      </c>
      <c r="M531" s="1">
        <f>_xlfn.XLOOKUP($C531,'Plaza SP Tar'!$C:$C,'Plaza SP Tar'!I:I)</f>
        <v>8489847.8711665571</v>
      </c>
      <c r="N531" s="1">
        <v>40000</v>
      </c>
      <c r="O531" s="1">
        <f>_xlfn.XLOOKUP($C531,'Plaza SP Tar'!$C:$C,'Plaza SP Tar'!J:J)</f>
        <v>9142913.0920255221</v>
      </c>
      <c r="P531" s="1">
        <v>45000</v>
      </c>
      <c r="Q531" s="1">
        <f>_xlfn.XLOOKUP($C531,'Plaza SP Tar'!$C:$C,'Plaza SP Tar'!K:K)</f>
        <v>9795978.3128844891</v>
      </c>
      <c r="R531">
        <v>50000</v>
      </c>
    </row>
    <row r="532" spans="1:18" x14ac:dyDescent="0.25">
      <c r="A532" t="s">
        <v>528</v>
      </c>
      <c r="B532" t="s">
        <v>562</v>
      </c>
      <c r="C532" t="s">
        <v>577</v>
      </c>
      <c r="D532" s="1">
        <v>4245420</v>
      </c>
      <c r="E532" s="1">
        <f>_xlfn.XLOOKUP($C532,'Plaza SP Tar'!$C:$C,'Plaza SP Tar'!E:E)</f>
        <v>4634011.8086604159</v>
      </c>
      <c r="F532" s="1">
        <v>10000</v>
      </c>
      <c r="G532" s="1">
        <f>_xlfn.XLOOKUP($C532,'Plaza SP Tar'!$C:$C,'Plaza SP Tar'!F:F)</f>
        <v>5296013.4956119042</v>
      </c>
      <c r="H532" s="1">
        <v>18000</v>
      </c>
      <c r="I532" s="1">
        <f>_xlfn.XLOOKUP($C532,'Plaza SP Tar'!$C:$C,'Plaza SP Tar'!G:G)</f>
        <v>5825614.8451730944</v>
      </c>
      <c r="J532" s="1">
        <v>25000</v>
      </c>
      <c r="K532" s="1">
        <f>_xlfn.XLOOKUP($C532,'Plaza SP Tar'!$C:$C,'Plaza SP Tar'!H:H)</f>
        <v>6355216.1947342847</v>
      </c>
      <c r="L532" s="1">
        <v>30000</v>
      </c>
      <c r="M532" s="1">
        <f>_xlfn.XLOOKUP($C532,'Plaza SP Tar'!$C:$C,'Plaza SP Tar'!I:I)</f>
        <v>6884817.5442954758</v>
      </c>
      <c r="N532" s="1">
        <v>40000</v>
      </c>
      <c r="O532" s="1">
        <f>_xlfn.XLOOKUP($C532,'Plaza SP Tar'!$C:$C,'Plaza SP Tar'!J:J)</f>
        <v>7414418.8938566651</v>
      </c>
      <c r="P532" s="1">
        <v>45000</v>
      </c>
      <c r="Q532" s="1">
        <f>_xlfn.XLOOKUP($C532,'Plaza SP Tar'!$C:$C,'Plaza SP Tar'!K:K)</f>
        <v>7944020.2434178563</v>
      </c>
      <c r="R532">
        <v>50000</v>
      </c>
    </row>
    <row r="533" spans="1:18" x14ac:dyDescent="0.25">
      <c r="A533" t="s">
        <v>528</v>
      </c>
      <c r="B533" t="s">
        <v>578</v>
      </c>
      <c r="C533" t="s">
        <v>579</v>
      </c>
      <c r="D533" s="1">
        <v>4194556</v>
      </c>
      <c r="E533" s="1">
        <f>_xlfn.XLOOKUP($C533,'Plaza SP Tar'!$C:$C,'Plaza SP Tar'!E:E)</f>
        <v>4578492.1247102525</v>
      </c>
      <c r="F533" s="1">
        <v>10000</v>
      </c>
      <c r="G533" s="1">
        <f>_xlfn.XLOOKUP($C533,'Plaza SP Tar'!$C:$C,'Plaza SP Tar'!F:F)</f>
        <v>5232562.428240289</v>
      </c>
      <c r="H533" s="1">
        <v>18000</v>
      </c>
      <c r="I533" s="1">
        <f>_xlfn.XLOOKUP($C533,'Plaza SP Tar'!$C:$C,'Plaza SP Tar'!G:G)</f>
        <v>5755818.6710643172</v>
      </c>
      <c r="J533" s="1">
        <v>25000</v>
      </c>
      <c r="K533" s="1">
        <f>_xlfn.XLOOKUP($C533,'Plaza SP Tar'!$C:$C,'Plaza SP Tar'!H:H)</f>
        <v>6279074.9138883464</v>
      </c>
      <c r="L533" s="1">
        <v>30000</v>
      </c>
      <c r="M533" s="1">
        <f>_xlfn.XLOOKUP($C533,'Plaza SP Tar'!$C:$C,'Plaza SP Tar'!I:I)</f>
        <v>6802331.1567123756</v>
      </c>
      <c r="N533" s="1">
        <v>40000</v>
      </c>
      <c r="O533" s="1">
        <f>_xlfn.XLOOKUP($C533,'Plaza SP Tar'!$C:$C,'Plaza SP Tar'!J:J)</f>
        <v>7325587.3995364038</v>
      </c>
      <c r="P533" s="1">
        <v>45000</v>
      </c>
      <c r="Q533" s="1">
        <f>_xlfn.XLOOKUP($C533,'Plaza SP Tar'!$C:$C,'Plaza SP Tar'!K:K)</f>
        <v>7848843.642360433</v>
      </c>
      <c r="R533">
        <v>50000</v>
      </c>
    </row>
    <row r="534" spans="1:18" x14ac:dyDescent="0.25">
      <c r="A534" t="s">
        <v>528</v>
      </c>
      <c r="B534" t="s">
        <v>578</v>
      </c>
      <c r="C534" t="s">
        <v>580</v>
      </c>
      <c r="D534" s="1">
        <v>4144272</v>
      </c>
      <c r="E534" s="1">
        <f>_xlfn.XLOOKUP($C534,'Plaza SP Tar'!$C:$C,'Plaza SP Tar'!E:E)</f>
        <v>4523605.529323535</v>
      </c>
      <c r="F534" s="1">
        <v>10000</v>
      </c>
      <c r="G534" s="1">
        <f>_xlfn.XLOOKUP($C534,'Plaza SP Tar'!$C:$C,'Plaza SP Tar'!F:F)</f>
        <v>5169834.8906554682</v>
      </c>
      <c r="H534" s="1">
        <v>18000</v>
      </c>
      <c r="I534" s="1">
        <f>_xlfn.XLOOKUP($C534,'Plaza SP Tar'!$C:$C,'Plaza SP Tar'!G:G)</f>
        <v>5686818.3797210148</v>
      </c>
      <c r="J534" s="1">
        <v>25000</v>
      </c>
      <c r="K534" s="1">
        <f>_xlfn.XLOOKUP($C534,'Plaza SP Tar'!$C:$C,'Plaza SP Tar'!H:H)</f>
        <v>6203801.8687865613</v>
      </c>
      <c r="L534" s="1">
        <v>30000</v>
      </c>
      <c r="M534" s="1">
        <f>_xlfn.XLOOKUP($C534,'Plaza SP Tar'!$C:$C,'Plaza SP Tar'!I:I)</f>
        <v>6720785.3578521088</v>
      </c>
      <c r="N534" s="1">
        <v>40000</v>
      </c>
      <c r="O534" s="1">
        <f>_xlfn.XLOOKUP($C534,'Plaza SP Tar'!$C:$C,'Plaza SP Tar'!J:J)</f>
        <v>7237768.8469176544</v>
      </c>
      <c r="P534" s="1">
        <v>45000</v>
      </c>
      <c r="Q534" s="1">
        <f>_xlfn.XLOOKUP($C534,'Plaza SP Tar'!$C:$C,'Plaza SP Tar'!K:K)</f>
        <v>7754752.3359832019</v>
      </c>
      <c r="R534">
        <v>50000</v>
      </c>
    </row>
    <row r="535" spans="1:18" x14ac:dyDescent="0.25">
      <c r="A535" t="s">
        <v>528</v>
      </c>
      <c r="B535" t="s">
        <v>578</v>
      </c>
      <c r="C535" t="s">
        <v>581</v>
      </c>
      <c r="D535" s="1">
        <v>3455093</v>
      </c>
      <c r="E535" s="1">
        <f>_xlfn.XLOOKUP($C535,'Plaza SP Tar'!$C:$C,'Plaza SP Tar'!E:E)</f>
        <v>3771344.5930013862</v>
      </c>
      <c r="F535" s="1">
        <v>10000</v>
      </c>
      <c r="G535" s="1">
        <f>_xlfn.XLOOKUP($C535,'Plaza SP Tar'!$C:$C,'Plaza SP Tar'!F:F)</f>
        <v>4310108.1062872978</v>
      </c>
      <c r="H535" s="1">
        <v>18000</v>
      </c>
      <c r="I535" s="1">
        <f>_xlfn.XLOOKUP($C535,'Plaza SP Tar'!$C:$C,'Plaza SP Tar'!G:G)</f>
        <v>4741118.9169160277</v>
      </c>
      <c r="J535" s="1">
        <v>25000</v>
      </c>
      <c r="K535" s="1">
        <f>_xlfn.XLOOKUP($C535,'Plaza SP Tar'!$C:$C,'Plaza SP Tar'!H:H)</f>
        <v>5172129.7275447575</v>
      </c>
      <c r="L535" s="1">
        <v>30000</v>
      </c>
      <c r="M535" s="1">
        <f>_xlfn.XLOOKUP($C535,'Plaza SP Tar'!$C:$C,'Plaza SP Tar'!I:I)</f>
        <v>5603140.5381734874</v>
      </c>
      <c r="N535" s="1">
        <v>40000</v>
      </c>
      <c r="O535" s="1">
        <f>_xlfn.XLOOKUP($C535,'Plaza SP Tar'!$C:$C,'Plaza SP Tar'!J:J)</f>
        <v>6034151.3488022164</v>
      </c>
      <c r="P535" s="1">
        <v>45000</v>
      </c>
      <c r="Q535" s="1">
        <f>_xlfn.XLOOKUP($C535,'Plaza SP Tar'!$C:$C,'Plaza SP Tar'!K:K)</f>
        <v>6465162.1594309472</v>
      </c>
      <c r="R535">
        <v>50000</v>
      </c>
    </row>
    <row r="536" spans="1:18" x14ac:dyDescent="0.25">
      <c r="A536" t="s">
        <v>528</v>
      </c>
      <c r="B536" t="s">
        <v>578</v>
      </c>
      <c r="C536" t="s">
        <v>582</v>
      </c>
      <c r="D536" s="1">
        <v>9211032</v>
      </c>
      <c r="E536" s="1">
        <f>_xlfn.XLOOKUP($C536,'Plaza SP Tar'!$C:$C,'Plaza SP Tar'!E:E)</f>
        <v>10054136.235743217</v>
      </c>
      <c r="F536" s="1">
        <v>10000</v>
      </c>
      <c r="G536" s="1">
        <f>_xlfn.XLOOKUP($C536,'Plaza SP Tar'!$C:$C,'Plaza SP Tar'!F:F)</f>
        <v>11490441.412277963</v>
      </c>
      <c r="H536" s="1">
        <v>18000</v>
      </c>
      <c r="I536" s="1">
        <f>_xlfn.XLOOKUP($C536,'Plaza SP Tar'!$C:$C,'Plaza SP Tar'!G:G)</f>
        <v>12639485.553505758</v>
      </c>
      <c r="J536" s="1">
        <v>25000</v>
      </c>
      <c r="K536" s="1">
        <f>_xlfn.XLOOKUP($C536,'Plaza SP Tar'!$C:$C,'Plaza SP Tar'!H:H)</f>
        <v>13788529.694733554</v>
      </c>
      <c r="L536" s="1">
        <v>30000</v>
      </c>
      <c r="M536" s="1">
        <f>_xlfn.XLOOKUP($C536,'Plaza SP Tar'!$C:$C,'Plaza SP Tar'!I:I)</f>
        <v>14937573.835961351</v>
      </c>
      <c r="N536" s="1">
        <v>40000</v>
      </c>
      <c r="O536" s="1">
        <f>_xlfn.XLOOKUP($C536,'Plaza SP Tar'!$C:$C,'Plaza SP Tar'!J:J)</f>
        <v>16086617.977189146</v>
      </c>
      <c r="P536" s="1">
        <v>45000</v>
      </c>
      <c r="Q536" s="1">
        <f>_xlfn.XLOOKUP($C536,'Plaza SP Tar'!$C:$C,'Plaza SP Tar'!K:K)</f>
        <v>17235662.118416943</v>
      </c>
      <c r="R536">
        <v>50000</v>
      </c>
    </row>
    <row r="537" spans="1:18" x14ac:dyDescent="0.25">
      <c r="A537" t="s">
        <v>528</v>
      </c>
      <c r="B537" t="s">
        <v>578</v>
      </c>
      <c r="C537" t="s">
        <v>583</v>
      </c>
      <c r="D537" s="1">
        <v>3290586</v>
      </c>
      <c r="E537" s="1">
        <f>_xlfn.XLOOKUP($C537,'Plaza SP Tar'!$C:$C,'Plaza SP Tar'!E:E)</f>
        <v>3591779.9373001126</v>
      </c>
      <c r="F537" s="1">
        <v>10000</v>
      </c>
      <c r="G537" s="1">
        <f>_xlfn.XLOOKUP($C537,'Plaza SP Tar'!$C:$C,'Plaza SP Tar'!F:F)</f>
        <v>4104891.3569144146</v>
      </c>
      <c r="H537" s="1">
        <v>18000</v>
      </c>
      <c r="I537" s="1">
        <f>_xlfn.XLOOKUP($C537,'Plaza SP Tar'!$C:$C,'Plaza SP Tar'!G:G)</f>
        <v>4515380.4926058557</v>
      </c>
      <c r="J537" s="1">
        <v>25000</v>
      </c>
      <c r="K537" s="1">
        <f>_xlfn.XLOOKUP($C537,'Plaza SP Tar'!$C:$C,'Plaza SP Tar'!H:H)</f>
        <v>4925869.6282972973</v>
      </c>
      <c r="L537" s="1">
        <v>30000</v>
      </c>
      <c r="M537" s="1">
        <f>_xlfn.XLOOKUP($C537,'Plaza SP Tar'!$C:$C,'Plaza SP Tar'!I:I)</f>
        <v>5336358.7639887389</v>
      </c>
      <c r="N537" s="1">
        <v>40000</v>
      </c>
      <c r="O537" s="1">
        <f>_xlfn.XLOOKUP($C537,'Plaza SP Tar'!$C:$C,'Plaza SP Tar'!J:J)</f>
        <v>5746847.8996801795</v>
      </c>
      <c r="P537" s="1">
        <v>45000</v>
      </c>
      <c r="Q537" s="1">
        <f>_xlfn.XLOOKUP($C537,'Plaza SP Tar'!$C:$C,'Plaza SP Tar'!K:K)</f>
        <v>6157337.0353716211</v>
      </c>
      <c r="R537">
        <v>50000</v>
      </c>
    </row>
    <row r="538" spans="1:18" x14ac:dyDescent="0.25">
      <c r="A538" t="s">
        <v>528</v>
      </c>
      <c r="B538" t="s">
        <v>578</v>
      </c>
      <c r="C538" t="s">
        <v>584</v>
      </c>
      <c r="D538" s="1">
        <v>3601159</v>
      </c>
      <c r="E538" s="1">
        <f>_xlfn.XLOOKUP($C538,'Plaza SP Tar'!$C:$C,'Plaza SP Tar'!E:E)</f>
        <v>3930780.3069811082</v>
      </c>
      <c r="F538" s="1">
        <v>10000</v>
      </c>
      <c r="G538" s="1">
        <f>_xlfn.XLOOKUP($C538,'Plaza SP Tar'!$C:$C,'Plaza SP Tar'!F:F)</f>
        <v>4492320.3508355524</v>
      </c>
      <c r="H538" s="1">
        <v>18000</v>
      </c>
      <c r="I538" s="1">
        <f>_xlfn.XLOOKUP($C538,'Plaza SP Tar'!$C:$C,'Plaza SP Tar'!G:G)</f>
        <v>4941552.3859191071</v>
      </c>
      <c r="J538" s="1">
        <v>25000</v>
      </c>
      <c r="K538" s="1">
        <f>_xlfn.XLOOKUP($C538,'Plaza SP Tar'!$C:$C,'Plaza SP Tar'!H:H)</f>
        <v>5390784.4210026618</v>
      </c>
      <c r="L538" s="1">
        <v>30000</v>
      </c>
      <c r="M538" s="1">
        <f>_xlfn.XLOOKUP($C538,'Plaza SP Tar'!$C:$C,'Plaza SP Tar'!I:I)</f>
        <v>5840016.4560862174</v>
      </c>
      <c r="N538" s="1">
        <v>40000</v>
      </c>
      <c r="O538" s="1">
        <f>_xlfn.XLOOKUP($C538,'Plaza SP Tar'!$C:$C,'Plaza SP Tar'!J:J)</f>
        <v>6289248.4911697721</v>
      </c>
      <c r="P538" s="1">
        <v>45000</v>
      </c>
      <c r="Q538" s="1">
        <f>_xlfn.XLOOKUP($C538,'Plaza SP Tar'!$C:$C,'Plaza SP Tar'!K:K)</f>
        <v>6738480.5262533277</v>
      </c>
      <c r="R538">
        <v>50000</v>
      </c>
    </row>
    <row r="539" spans="1:18" x14ac:dyDescent="0.25">
      <c r="A539" t="s">
        <v>528</v>
      </c>
      <c r="B539" t="s">
        <v>578</v>
      </c>
      <c r="C539" t="s">
        <v>585</v>
      </c>
      <c r="D539" s="1">
        <v>4918109</v>
      </c>
      <c r="E539" s="1">
        <f>_xlfn.XLOOKUP($C539,'Plaza SP Tar'!$C:$C,'Plaza SP Tar'!E:E)</f>
        <v>5368273.3822046043</v>
      </c>
      <c r="F539" s="1">
        <v>10000</v>
      </c>
      <c r="G539" s="1">
        <f>_xlfn.XLOOKUP($C539,'Plaza SP Tar'!$C:$C,'Plaza SP Tar'!F:F)</f>
        <v>6135169.579662405</v>
      </c>
      <c r="H539" s="1">
        <v>18000</v>
      </c>
      <c r="I539" s="1">
        <f>_xlfn.XLOOKUP($C539,'Plaza SP Tar'!$C:$C,'Plaza SP Tar'!G:G)</f>
        <v>6748686.5376286441</v>
      </c>
      <c r="J539" s="1">
        <v>25000</v>
      </c>
      <c r="K539" s="1">
        <f>_xlfn.XLOOKUP($C539,'Plaza SP Tar'!$C:$C,'Plaza SP Tar'!H:H)</f>
        <v>7362203.4955948852</v>
      </c>
      <c r="L539" s="1">
        <v>30000</v>
      </c>
      <c r="M539" s="1">
        <f>_xlfn.XLOOKUP($C539,'Plaza SP Tar'!$C:$C,'Plaza SP Tar'!I:I)</f>
        <v>7975720.4535611263</v>
      </c>
      <c r="N539" s="1">
        <v>40000</v>
      </c>
      <c r="O539" s="1">
        <f>_xlfn.XLOOKUP($C539,'Plaza SP Tar'!$C:$C,'Plaza SP Tar'!J:J)</f>
        <v>8589237.4115273654</v>
      </c>
      <c r="P539" s="1">
        <v>45000</v>
      </c>
      <c r="Q539" s="1">
        <f>_xlfn.XLOOKUP($C539,'Plaza SP Tar'!$C:$C,'Plaza SP Tar'!K:K)</f>
        <v>9202754.3694936074</v>
      </c>
      <c r="R539">
        <v>50000</v>
      </c>
    </row>
    <row r="540" spans="1:18" x14ac:dyDescent="0.25">
      <c r="A540" t="s">
        <v>528</v>
      </c>
      <c r="B540" t="s">
        <v>578</v>
      </c>
      <c r="C540" t="s">
        <v>586</v>
      </c>
      <c r="D540" s="1">
        <v>9350559</v>
      </c>
      <c r="E540" s="1">
        <f>_xlfn.XLOOKUP($C540,'Plaza SP Tar'!$C:$C,'Plaza SP Tar'!E:E)</f>
        <v>10206434.421936095</v>
      </c>
      <c r="F540" s="1">
        <v>10000</v>
      </c>
      <c r="G540" s="1">
        <f>_xlfn.XLOOKUP($C540,'Plaza SP Tar'!$C:$C,'Plaza SP Tar'!F:F)</f>
        <v>11664496.482212679</v>
      </c>
      <c r="H540" s="1">
        <v>18000</v>
      </c>
      <c r="I540" s="1">
        <f>_xlfn.XLOOKUP($C540,'Plaza SP Tar'!$C:$C,'Plaza SP Tar'!G:G)</f>
        <v>12830946.130433945</v>
      </c>
      <c r="J540" s="1">
        <v>25000</v>
      </c>
      <c r="K540" s="1">
        <f>_xlfn.XLOOKUP($C540,'Plaza SP Tar'!$C:$C,'Plaza SP Tar'!H:H)</f>
        <v>13997395.778655214</v>
      </c>
      <c r="L540" s="1">
        <v>30000</v>
      </c>
      <c r="M540" s="1">
        <f>_xlfn.XLOOKUP($C540,'Plaza SP Tar'!$C:$C,'Plaza SP Tar'!I:I)</f>
        <v>15163845.426876483</v>
      </c>
      <c r="N540" s="1">
        <v>40000</v>
      </c>
      <c r="O540" s="1">
        <f>_xlfn.XLOOKUP($C540,'Plaza SP Tar'!$C:$C,'Plaza SP Tar'!J:J)</f>
        <v>16330295.075097749</v>
      </c>
      <c r="P540" s="1">
        <v>45000</v>
      </c>
      <c r="Q540" s="1">
        <f>_xlfn.XLOOKUP($C540,'Plaza SP Tar'!$C:$C,'Plaza SP Tar'!K:K)</f>
        <v>17496744.723319016</v>
      </c>
      <c r="R540">
        <v>50000</v>
      </c>
    </row>
    <row r="541" spans="1:18" x14ac:dyDescent="0.25">
      <c r="A541" t="s">
        <v>528</v>
      </c>
      <c r="B541" t="s">
        <v>578</v>
      </c>
      <c r="C541" t="s">
        <v>587</v>
      </c>
      <c r="D541" s="1">
        <v>6469649</v>
      </c>
      <c r="E541" s="1">
        <f>_xlfn.XLOOKUP($C541,'Plaza SP Tar'!$C:$C,'Plaza SP Tar'!E:E)</f>
        <v>7061828.9507017098</v>
      </c>
      <c r="F541" s="1">
        <v>10000</v>
      </c>
      <c r="G541" s="1">
        <f>_xlfn.XLOOKUP($C541,'Plaza SP Tar'!$C:$C,'Plaza SP Tar'!F:F)</f>
        <v>8070661.6579448115</v>
      </c>
      <c r="H541" s="1">
        <v>18000</v>
      </c>
      <c r="I541" s="1">
        <f>_xlfn.XLOOKUP($C541,'Plaza SP Tar'!$C:$C,'Plaza SP Tar'!G:G)</f>
        <v>8877727.8237392921</v>
      </c>
      <c r="J541" s="1">
        <v>25000</v>
      </c>
      <c r="K541" s="1">
        <f>_xlfn.XLOOKUP($C541,'Plaza SP Tar'!$C:$C,'Plaza SP Tar'!H:H)</f>
        <v>9684793.9895337727</v>
      </c>
      <c r="L541" s="1">
        <v>30000</v>
      </c>
      <c r="M541" s="1">
        <f>_xlfn.XLOOKUP($C541,'Plaza SP Tar'!$C:$C,'Plaza SP Tar'!I:I)</f>
        <v>10491860.155328255</v>
      </c>
      <c r="N541" s="1">
        <v>40000</v>
      </c>
      <c r="O541" s="1">
        <f>_xlfn.XLOOKUP($C541,'Plaza SP Tar'!$C:$C,'Plaza SP Tar'!J:J)</f>
        <v>11298926.321122734</v>
      </c>
      <c r="P541" s="1">
        <v>45000</v>
      </c>
      <c r="Q541" s="1">
        <f>_xlfn.XLOOKUP($C541,'Plaza SP Tar'!$C:$C,'Plaza SP Tar'!K:K)</f>
        <v>12105992.486917216</v>
      </c>
      <c r="R541">
        <v>50000</v>
      </c>
    </row>
    <row r="542" spans="1:18" x14ac:dyDescent="0.25">
      <c r="A542" t="s">
        <v>528</v>
      </c>
      <c r="B542" t="s">
        <v>578</v>
      </c>
      <c r="C542" t="s">
        <v>588</v>
      </c>
      <c r="D542" s="1">
        <v>2763179</v>
      </c>
      <c r="E542" s="1">
        <f>_xlfn.XLOOKUP($C542,'Plaza SP Tar'!$C:$C,'Plaza SP Tar'!E:E)</f>
        <v>3016098.3166429894</v>
      </c>
      <c r="F542" s="1">
        <v>10000</v>
      </c>
      <c r="G542" s="1">
        <f>_xlfn.XLOOKUP($C542,'Plaza SP Tar'!$C:$C,'Plaza SP Tar'!F:F)</f>
        <v>3446969.5047348449</v>
      </c>
      <c r="H542" s="1">
        <v>18000</v>
      </c>
      <c r="I542" s="1">
        <f>_xlfn.XLOOKUP($C542,'Plaza SP Tar'!$C:$C,'Plaza SP Tar'!G:G)</f>
        <v>3791666.455208329</v>
      </c>
      <c r="J542" s="1">
        <v>25000</v>
      </c>
      <c r="K542" s="1">
        <f>_xlfn.XLOOKUP($C542,'Plaza SP Tar'!$C:$C,'Plaza SP Tar'!H:H)</f>
        <v>4136363.4056818141</v>
      </c>
      <c r="L542" s="1">
        <v>30000</v>
      </c>
      <c r="M542" s="1">
        <f>_xlfn.XLOOKUP($C542,'Plaza SP Tar'!$C:$C,'Plaza SP Tar'!I:I)</f>
        <v>4481060.3561552987</v>
      </c>
      <c r="N542" s="1">
        <v>40000</v>
      </c>
      <c r="O542" s="1">
        <f>_xlfn.XLOOKUP($C542,'Plaza SP Tar'!$C:$C,'Plaza SP Tar'!J:J)</f>
        <v>4825757.3066287823</v>
      </c>
      <c r="P542" s="1">
        <v>45000</v>
      </c>
      <c r="Q542" s="1">
        <f>_xlfn.XLOOKUP($C542,'Plaza SP Tar'!$C:$C,'Plaza SP Tar'!K:K)</f>
        <v>5170454.2571022669</v>
      </c>
      <c r="R542">
        <v>50000</v>
      </c>
    </row>
    <row r="543" spans="1:18" x14ac:dyDescent="0.25">
      <c r="A543" t="s">
        <v>528</v>
      </c>
      <c r="B543" t="s">
        <v>578</v>
      </c>
      <c r="C543" t="s">
        <v>589</v>
      </c>
      <c r="D543" s="1">
        <v>5451989</v>
      </c>
      <c r="E543" s="1">
        <f>_xlfn.XLOOKUP($C543,'Plaza SP Tar'!$C:$C,'Plaza SP Tar'!E:E)</f>
        <v>5951020.4895361811</v>
      </c>
      <c r="F543" s="1">
        <v>10000</v>
      </c>
      <c r="G543" s="1">
        <f>_xlfn.XLOOKUP($C543,'Plaza SP Tar'!$C:$C,'Plaza SP Tar'!F:F)</f>
        <v>6801166.2737556351</v>
      </c>
      <c r="H543" s="1">
        <v>18000</v>
      </c>
      <c r="I543" s="1">
        <f>_xlfn.XLOOKUP($C543,'Plaza SP Tar'!$C:$C,'Plaza SP Tar'!G:G)</f>
        <v>7481282.9011311978</v>
      </c>
      <c r="J543" s="1">
        <v>25000</v>
      </c>
      <c r="K543" s="1">
        <f>_xlfn.XLOOKUP($C543,'Plaza SP Tar'!$C:$C,'Plaza SP Tar'!H:H)</f>
        <v>8161399.5285067623</v>
      </c>
      <c r="L543" s="1">
        <v>30000</v>
      </c>
      <c r="M543" s="1">
        <f>_xlfn.XLOOKUP($C543,'Plaza SP Tar'!$C:$C,'Plaza SP Tar'!I:I)</f>
        <v>8841516.1558823269</v>
      </c>
      <c r="N543" s="1">
        <v>40000</v>
      </c>
      <c r="O543" s="1">
        <f>_xlfn.XLOOKUP($C543,'Plaza SP Tar'!$C:$C,'Plaza SP Tar'!J:J)</f>
        <v>9521632.7832578886</v>
      </c>
      <c r="P543" s="1">
        <v>45000</v>
      </c>
      <c r="Q543" s="1">
        <f>_xlfn.XLOOKUP($C543,'Plaza SP Tar'!$C:$C,'Plaza SP Tar'!K:K)</f>
        <v>10201749.410633452</v>
      </c>
      <c r="R543">
        <v>50000</v>
      </c>
    </row>
    <row r="544" spans="1:18" x14ac:dyDescent="0.25">
      <c r="A544" t="s">
        <v>528</v>
      </c>
      <c r="B544" t="s">
        <v>578</v>
      </c>
      <c r="C544" t="s">
        <v>590</v>
      </c>
      <c r="D544" s="1">
        <v>6719646</v>
      </c>
      <c r="E544" s="1">
        <f>_xlfn.XLOOKUP($C544,'Plaza SP Tar'!$C:$C,'Plaza SP Tar'!E:E)</f>
        <v>7334708.677590847</v>
      </c>
      <c r="F544" s="1">
        <v>10000</v>
      </c>
      <c r="G544" s="1">
        <f>_xlfn.XLOOKUP($C544,'Plaza SP Tar'!$C:$C,'Plaza SP Tar'!F:F)</f>
        <v>8382524.2029609671</v>
      </c>
      <c r="H544" s="1">
        <v>18000</v>
      </c>
      <c r="I544" s="1">
        <f>_xlfn.XLOOKUP($C544,'Plaza SP Tar'!$C:$C,'Plaza SP Tar'!G:G)</f>
        <v>9220776.6232570633</v>
      </c>
      <c r="J544" s="1">
        <v>25000</v>
      </c>
      <c r="K544" s="1">
        <f>_xlfn.XLOOKUP($C544,'Plaza SP Tar'!$C:$C,'Plaza SP Tar'!H:H)</f>
        <v>10059029.043553161</v>
      </c>
      <c r="L544" s="1">
        <v>30000</v>
      </c>
      <c r="M544" s="1">
        <f>_xlfn.XLOOKUP($C544,'Plaza SP Tar'!$C:$C,'Plaza SP Tar'!I:I)</f>
        <v>10897281.463849258</v>
      </c>
      <c r="N544" s="1">
        <v>40000</v>
      </c>
      <c r="O544" s="1">
        <f>_xlfn.XLOOKUP($C544,'Plaza SP Tar'!$C:$C,'Plaza SP Tar'!J:J)</f>
        <v>11735533.884145353</v>
      </c>
      <c r="P544" s="1">
        <v>45000</v>
      </c>
      <c r="Q544" s="1">
        <f>_xlfn.XLOOKUP($C544,'Plaza SP Tar'!$C:$C,'Plaza SP Tar'!K:K)</f>
        <v>12573786.30444145</v>
      </c>
      <c r="R544">
        <v>50000</v>
      </c>
    </row>
    <row r="545" spans="1:18" x14ac:dyDescent="0.25">
      <c r="A545" t="s">
        <v>528</v>
      </c>
      <c r="B545" t="s">
        <v>578</v>
      </c>
      <c r="C545" t="s">
        <v>591</v>
      </c>
      <c r="D545" s="1">
        <v>10673691</v>
      </c>
      <c r="E545" s="1">
        <f>_xlfn.XLOOKUP($C545,'Plaza SP Tar'!$C:$C,'Plaza SP Tar'!E:E)</f>
        <v>11650675.348020315</v>
      </c>
      <c r="F545" s="1">
        <v>10000</v>
      </c>
      <c r="G545" s="1">
        <f>_xlfn.XLOOKUP($C545,'Plaza SP Tar'!$C:$C,'Plaza SP Tar'!F:F)</f>
        <v>13315057.540594647</v>
      </c>
      <c r="H545" s="1">
        <v>18000</v>
      </c>
      <c r="I545" s="1">
        <f>_xlfn.XLOOKUP($C545,'Plaza SP Tar'!$C:$C,'Plaza SP Tar'!G:G)</f>
        <v>14646563.294654109</v>
      </c>
      <c r="J545" s="1">
        <v>25000</v>
      </c>
      <c r="K545" s="1">
        <f>_xlfn.XLOOKUP($C545,'Plaza SP Tar'!$C:$C,'Plaza SP Tar'!H:H)</f>
        <v>15978069.048713574</v>
      </c>
      <c r="L545" s="1">
        <v>30000</v>
      </c>
      <c r="M545" s="1">
        <f>_xlfn.XLOOKUP($C545,'Plaza SP Tar'!$C:$C,'Plaza SP Tar'!I:I)</f>
        <v>17309574.80277304</v>
      </c>
      <c r="N545" s="1">
        <v>40000</v>
      </c>
      <c r="O545" s="1">
        <f>_xlfn.XLOOKUP($C545,'Plaza SP Tar'!$C:$C,'Plaza SP Tar'!J:J)</f>
        <v>18641080.556832504</v>
      </c>
      <c r="P545" s="1">
        <v>45000</v>
      </c>
      <c r="Q545" s="1">
        <f>_xlfn.XLOOKUP($C545,'Plaza SP Tar'!$C:$C,'Plaza SP Tar'!K:K)</f>
        <v>19972586.310891967</v>
      </c>
      <c r="R545">
        <v>50000</v>
      </c>
    </row>
    <row r="546" spans="1:18" x14ac:dyDescent="0.25">
      <c r="A546" t="s">
        <v>528</v>
      </c>
      <c r="B546" t="s">
        <v>578</v>
      </c>
      <c r="C546" t="s">
        <v>592</v>
      </c>
      <c r="D546" s="1">
        <v>5647307</v>
      </c>
      <c r="E546" s="1">
        <f>_xlfn.XLOOKUP($C546,'Plaza SP Tar'!$C:$C,'Plaza SP Tar'!E:E)</f>
        <v>6164216.3378724912</v>
      </c>
      <c r="F546" s="1">
        <v>10000</v>
      </c>
      <c r="G546" s="1">
        <f>_xlfn.XLOOKUP($C546,'Plaza SP Tar'!$C:$C,'Plaza SP Tar'!F:F)</f>
        <v>7044818.6718542753</v>
      </c>
      <c r="H546" s="1">
        <v>18000</v>
      </c>
      <c r="I546" s="1">
        <f>_xlfn.XLOOKUP($C546,'Plaza SP Tar'!$C:$C,'Plaza SP Tar'!G:G)</f>
        <v>7749300.5390397012</v>
      </c>
      <c r="J546" s="1">
        <v>25000</v>
      </c>
      <c r="K546" s="1">
        <f>_xlfn.XLOOKUP($C546,'Plaza SP Tar'!$C:$C,'Plaza SP Tar'!H:H)</f>
        <v>8453782.40622513</v>
      </c>
      <c r="L546" s="1">
        <v>30000</v>
      </c>
      <c r="M546" s="1">
        <f>_xlfn.XLOOKUP($C546,'Plaza SP Tar'!$C:$C,'Plaza SP Tar'!I:I)</f>
        <v>9158264.2734105568</v>
      </c>
      <c r="N546" s="1">
        <v>40000</v>
      </c>
      <c r="O546" s="1">
        <f>_xlfn.XLOOKUP($C546,'Plaza SP Tar'!$C:$C,'Plaza SP Tar'!J:J)</f>
        <v>9862746.1405959837</v>
      </c>
      <c r="P546" s="1">
        <v>45000</v>
      </c>
      <c r="Q546" s="1">
        <f>_xlfn.XLOOKUP($C546,'Plaza SP Tar'!$C:$C,'Plaza SP Tar'!K:K)</f>
        <v>10567228.007781412</v>
      </c>
      <c r="R546">
        <v>50000</v>
      </c>
    </row>
    <row r="547" spans="1:18" x14ac:dyDescent="0.25">
      <c r="A547" t="s">
        <v>528</v>
      </c>
      <c r="B547" t="s">
        <v>593</v>
      </c>
      <c r="C547" t="s">
        <v>594</v>
      </c>
      <c r="D547" s="1">
        <v>5219885</v>
      </c>
      <c r="E547" s="1">
        <f>_xlfn.XLOOKUP($C547,'Plaza SP Tar'!$C:$C,'Plaza SP Tar'!E:E)</f>
        <v>5697671.5448293397</v>
      </c>
      <c r="F547" s="1">
        <v>10000</v>
      </c>
      <c r="G547" s="1">
        <f>_xlfn.XLOOKUP($C547,'Plaza SP Tar'!$C:$C,'Plaza SP Tar'!F:F)</f>
        <v>6511624.6226621028</v>
      </c>
      <c r="H547" s="1">
        <v>18000</v>
      </c>
      <c r="I547" s="1">
        <f>_xlfn.XLOOKUP($C547,'Plaza SP Tar'!$C:$C,'Plaza SP Tar'!G:G)</f>
        <v>7162787.0849283123</v>
      </c>
      <c r="J547" s="1">
        <v>25000</v>
      </c>
      <c r="K547" s="1">
        <f>_xlfn.XLOOKUP($C547,'Plaza SP Tar'!$C:$C,'Plaza SP Tar'!H:H)</f>
        <v>7813949.5471945228</v>
      </c>
      <c r="L547" s="1">
        <v>30000</v>
      </c>
      <c r="M547" s="1">
        <f>_xlfn.XLOOKUP($C547,'Plaza SP Tar'!$C:$C,'Plaza SP Tar'!I:I)</f>
        <v>8465112.0094607342</v>
      </c>
      <c r="N547" s="1">
        <v>40000</v>
      </c>
      <c r="O547" s="1">
        <f>_xlfn.XLOOKUP($C547,'Plaza SP Tar'!$C:$C,'Plaza SP Tar'!J:J)</f>
        <v>9116274.4717269428</v>
      </c>
      <c r="P547" s="1">
        <v>45000</v>
      </c>
      <c r="Q547" s="1">
        <f>_xlfn.XLOOKUP($C547,'Plaza SP Tar'!$C:$C,'Plaza SP Tar'!K:K)</f>
        <v>9767436.9339931533</v>
      </c>
      <c r="R547">
        <v>50000</v>
      </c>
    </row>
    <row r="548" spans="1:18" x14ac:dyDescent="0.25">
      <c r="A548" t="s">
        <v>528</v>
      </c>
      <c r="B548" t="s">
        <v>593</v>
      </c>
      <c r="C548" t="s">
        <v>595</v>
      </c>
      <c r="D548" s="1">
        <v>3693790</v>
      </c>
      <c r="E548" s="1">
        <f>_xlfn.XLOOKUP($C548,'Plaza SP Tar'!$C:$C,'Plaza SP Tar'!E:E)</f>
        <v>4031890.0082233935</v>
      </c>
      <c r="F548" s="1">
        <v>10000</v>
      </c>
      <c r="G548" s="1">
        <f>_xlfn.XLOOKUP($C548,'Plaza SP Tar'!$C:$C,'Plaza SP Tar'!F:F)</f>
        <v>4607874.2951124497</v>
      </c>
      <c r="H548" s="1">
        <v>18000</v>
      </c>
      <c r="I548" s="1">
        <f>_xlfn.XLOOKUP($C548,'Plaza SP Tar'!$C:$C,'Plaza SP Tar'!G:G)</f>
        <v>5068661.7246236941</v>
      </c>
      <c r="J548" s="1">
        <v>25000</v>
      </c>
      <c r="K548" s="1">
        <f>_xlfn.XLOOKUP($C548,'Plaza SP Tar'!$C:$C,'Plaza SP Tar'!H:H)</f>
        <v>5529449.1541349394</v>
      </c>
      <c r="L548" s="1">
        <v>30000</v>
      </c>
      <c r="M548" s="1">
        <f>_xlfn.XLOOKUP($C548,'Plaza SP Tar'!$C:$C,'Plaza SP Tar'!I:I)</f>
        <v>5990236.5836461848</v>
      </c>
      <c r="N548" s="1">
        <v>40000</v>
      </c>
      <c r="O548" s="1">
        <f>_xlfn.XLOOKUP($C548,'Plaza SP Tar'!$C:$C,'Plaza SP Tar'!J:J)</f>
        <v>6451024.0131574292</v>
      </c>
      <c r="P548" s="1">
        <v>45000</v>
      </c>
      <c r="Q548" s="1">
        <f>_xlfn.XLOOKUP($C548,'Plaza SP Tar'!$C:$C,'Plaza SP Tar'!K:K)</f>
        <v>6911811.4426686736</v>
      </c>
      <c r="R548">
        <v>50000</v>
      </c>
    </row>
    <row r="549" spans="1:18" x14ac:dyDescent="0.25">
      <c r="A549" t="s">
        <v>528</v>
      </c>
      <c r="B549" t="s">
        <v>593</v>
      </c>
      <c r="C549" t="s">
        <v>596</v>
      </c>
      <c r="D549" s="1">
        <v>5404337</v>
      </c>
      <c r="E549" s="1">
        <f>_xlfn.XLOOKUP($C549,'Plaza SP Tar'!$C:$C,'Plaza SP Tar'!E:E)</f>
        <v>5899006.806389099</v>
      </c>
      <c r="F549" s="1">
        <v>10000</v>
      </c>
      <c r="G549" s="1">
        <f>_xlfn.XLOOKUP($C549,'Plaza SP Tar'!$C:$C,'Plaza SP Tar'!F:F)</f>
        <v>6741722.0644446844</v>
      </c>
      <c r="H549" s="1">
        <v>18000</v>
      </c>
      <c r="I549" s="1">
        <f>_xlfn.XLOOKUP($C549,'Plaza SP Tar'!$C:$C,'Plaza SP Tar'!G:G)</f>
        <v>7415894.2708891518</v>
      </c>
      <c r="J549" s="1">
        <v>25000</v>
      </c>
      <c r="K549" s="1">
        <f>_xlfn.XLOOKUP($C549,'Plaza SP Tar'!$C:$C,'Plaza SP Tar'!H:H)</f>
        <v>8090066.4773336211</v>
      </c>
      <c r="L549" s="1">
        <v>30000</v>
      </c>
      <c r="M549" s="1">
        <f>_xlfn.XLOOKUP($C549,'Plaza SP Tar'!$C:$C,'Plaza SP Tar'!I:I)</f>
        <v>8764238.6837780904</v>
      </c>
      <c r="N549" s="1">
        <v>40000</v>
      </c>
      <c r="O549" s="1">
        <f>_xlfn.XLOOKUP($C549,'Plaza SP Tar'!$C:$C,'Plaza SP Tar'!J:J)</f>
        <v>9438410.8902225569</v>
      </c>
      <c r="P549" s="1">
        <v>45000</v>
      </c>
      <c r="Q549" s="1">
        <f>_xlfn.XLOOKUP($C549,'Plaza SP Tar'!$C:$C,'Plaza SP Tar'!K:K)</f>
        <v>10112583.096667025</v>
      </c>
      <c r="R549">
        <v>50000</v>
      </c>
    </row>
    <row r="550" spans="1:18" x14ac:dyDescent="0.25">
      <c r="A550" t="s">
        <v>528</v>
      </c>
      <c r="B550" t="s">
        <v>593</v>
      </c>
      <c r="C550" t="s">
        <v>597</v>
      </c>
      <c r="D550" s="1">
        <v>5657212</v>
      </c>
      <c r="E550" s="1">
        <f>_xlfn.XLOOKUP($C550,'Plaza SP Tar'!$C:$C,'Plaza SP Tar'!E:E)</f>
        <v>6175027.9623913327</v>
      </c>
      <c r="F550" s="1">
        <v>10000</v>
      </c>
      <c r="G550" s="1">
        <f>_xlfn.XLOOKUP($C550,'Plaza SP Tar'!$C:$C,'Plaza SP Tar'!F:F)</f>
        <v>7057174.8141615232</v>
      </c>
      <c r="H550" s="1">
        <v>18000</v>
      </c>
      <c r="I550" s="1">
        <f>_xlfn.XLOOKUP($C550,'Plaza SP Tar'!$C:$C,'Plaza SP Tar'!G:G)</f>
        <v>7762892.2955776742</v>
      </c>
      <c r="J550" s="1">
        <v>25000</v>
      </c>
      <c r="K550" s="1">
        <f>_xlfn.XLOOKUP($C550,'Plaza SP Tar'!$C:$C,'Plaza SP Tar'!H:H)</f>
        <v>8468609.776993826</v>
      </c>
      <c r="L550" s="1">
        <v>30000</v>
      </c>
      <c r="M550" s="1">
        <f>_xlfn.XLOOKUP($C550,'Plaza SP Tar'!$C:$C,'Plaza SP Tar'!I:I)</f>
        <v>9174327.2584099788</v>
      </c>
      <c r="N550" s="1">
        <v>40000</v>
      </c>
      <c r="O550" s="1">
        <f>_xlfn.XLOOKUP($C550,'Plaza SP Tar'!$C:$C,'Plaza SP Tar'!J:J)</f>
        <v>9880044.7398261316</v>
      </c>
      <c r="P550" s="1">
        <v>45000</v>
      </c>
      <c r="Q550" s="1">
        <f>_xlfn.XLOOKUP($C550,'Plaza SP Tar'!$C:$C,'Plaza SP Tar'!K:K)</f>
        <v>10585762.221242284</v>
      </c>
      <c r="R550">
        <v>50000</v>
      </c>
    </row>
    <row r="551" spans="1:18" x14ac:dyDescent="0.25">
      <c r="A551" t="s">
        <v>528</v>
      </c>
      <c r="B551" t="s">
        <v>593</v>
      </c>
      <c r="C551" t="s">
        <v>598</v>
      </c>
      <c r="D551" s="1">
        <v>7996246</v>
      </c>
      <c r="E551" s="1">
        <f>_xlfn.XLOOKUP($C551,'Plaza SP Tar'!$C:$C,'Plaza SP Tar'!E:E)</f>
        <v>8728158.4363746382</v>
      </c>
      <c r="F551" s="1">
        <v>10000</v>
      </c>
      <c r="G551" s="1">
        <f>_xlfn.XLOOKUP($C551,'Plaza SP Tar'!$C:$C,'Plaza SP Tar'!F:F)</f>
        <v>9975038.2129995879</v>
      </c>
      <c r="H551" s="1">
        <v>18000</v>
      </c>
      <c r="I551" s="1">
        <f>_xlfn.XLOOKUP($C551,'Plaza SP Tar'!$C:$C,'Plaza SP Tar'!G:G)</f>
        <v>10972542.034299545</v>
      </c>
      <c r="J551" s="1">
        <v>25000</v>
      </c>
      <c r="K551" s="1">
        <f>_xlfn.XLOOKUP($C551,'Plaza SP Tar'!$C:$C,'Plaza SP Tar'!H:H)</f>
        <v>11970045.855599504</v>
      </c>
      <c r="L551" s="1">
        <v>30000</v>
      </c>
      <c r="M551" s="1">
        <f>_xlfn.XLOOKUP($C551,'Plaza SP Tar'!$C:$C,'Plaza SP Tar'!I:I)</f>
        <v>12967549.676899463</v>
      </c>
      <c r="N551" s="1">
        <v>40000</v>
      </c>
      <c r="O551" s="1">
        <f>_xlfn.XLOOKUP($C551,'Plaza SP Tar'!$C:$C,'Plaza SP Tar'!J:J)</f>
        <v>13965053.49819942</v>
      </c>
      <c r="P551" s="1">
        <v>45000</v>
      </c>
      <c r="Q551" s="1">
        <f>_xlfn.XLOOKUP($C551,'Plaza SP Tar'!$C:$C,'Plaza SP Tar'!K:K)</f>
        <v>14962557.319499379</v>
      </c>
      <c r="R551">
        <v>50000</v>
      </c>
    </row>
    <row r="552" spans="1:18" x14ac:dyDescent="0.25">
      <c r="A552" t="s">
        <v>528</v>
      </c>
      <c r="B552" t="s">
        <v>593</v>
      </c>
      <c r="C552" t="s">
        <v>599</v>
      </c>
      <c r="D552" s="1">
        <v>6766822</v>
      </c>
      <c r="E552" s="1">
        <f>_xlfn.XLOOKUP($C552,'Plaza SP Tar'!$C:$C,'Plaza SP Tar'!E:E)</f>
        <v>7386202.7915031016</v>
      </c>
      <c r="F552" s="1">
        <v>10000</v>
      </c>
      <c r="G552" s="1">
        <f>_xlfn.XLOOKUP($C552,'Plaza SP Tar'!$C:$C,'Plaza SP Tar'!F:F)</f>
        <v>8441374.6188606862</v>
      </c>
      <c r="H552" s="1">
        <v>18000</v>
      </c>
      <c r="I552" s="1">
        <f>_xlfn.XLOOKUP($C552,'Plaza SP Tar'!$C:$C,'Plaza SP Tar'!G:G)</f>
        <v>9285512.080746755</v>
      </c>
      <c r="J552" s="1">
        <v>25000</v>
      </c>
      <c r="K552" s="1">
        <f>_xlfn.XLOOKUP($C552,'Plaza SP Tar'!$C:$C,'Plaza SP Tar'!H:H)</f>
        <v>10129649.542632824</v>
      </c>
      <c r="L552" s="1">
        <v>30000</v>
      </c>
      <c r="M552" s="1">
        <f>_xlfn.XLOOKUP($C552,'Plaza SP Tar'!$C:$C,'Plaza SP Tar'!I:I)</f>
        <v>10973787.004518893</v>
      </c>
      <c r="N552" s="1">
        <v>40000</v>
      </c>
      <c r="O552" s="1">
        <f>_xlfn.XLOOKUP($C552,'Plaza SP Tar'!$C:$C,'Plaza SP Tar'!J:J)</f>
        <v>11817924.46640496</v>
      </c>
      <c r="P552" s="1">
        <v>45000</v>
      </c>
      <c r="Q552" s="1">
        <f>_xlfn.XLOOKUP($C552,'Plaza SP Tar'!$C:$C,'Plaza SP Tar'!K:K)</f>
        <v>12662061.92829103</v>
      </c>
      <c r="R552">
        <v>50000</v>
      </c>
    </row>
    <row r="553" spans="1:18" x14ac:dyDescent="0.25">
      <c r="A553" t="s">
        <v>528</v>
      </c>
      <c r="B553" t="s">
        <v>593</v>
      </c>
      <c r="C553" t="s">
        <v>600</v>
      </c>
      <c r="D553" s="1">
        <v>3960499</v>
      </c>
      <c r="E553" s="1">
        <f>_xlfn.XLOOKUP($C553,'Plaza SP Tar'!$C:$C,'Plaza SP Tar'!E:E)</f>
        <v>4323011.4179958096</v>
      </c>
      <c r="F553" s="1">
        <v>10000</v>
      </c>
      <c r="G553" s="1">
        <f>_xlfn.XLOOKUP($C553,'Plaza SP Tar'!$C:$C,'Plaza SP Tar'!F:F)</f>
        <v>4940584.4777094964</v>
      </c>
      <c r="H553" s="1">
        <v>18000</v>
      </c>
      <c r="I553" s="1">
        <f>_xlfn.XLOOKUP($C553,'Plaza SP Tar'!$C:$C,'Plaza SP Tar'!G:G)</f>
        <v>5434642.9254804458</v>
      </c>
      <c r="J553" s="1">
        <v>25000</v>
      </c>
      <c r="K553" s="1">
        <f>_xlfn.XLOOKUP($C553,'Plaza SP Tar'!$C:$C,'Plaza SP Tar'!H:H)</f>
        <v>5928701.3732513953</v>
      </c>
      <c r="L553" s="1">
        <v>30000</v>
      </c>
      <c r="M553" s="1">
        <f>_xlfn.XLOOKUP($C553,'Plaza SP Tar'!$C:$C,'Plaza SP Tar'!I:I)</f>
        <v>6422759.8210223457</v>
      </c>
      <c r="N553" s="1">
        <v>40000</v>
      </c>
      <c r="O553" s="1">
        <f>_xlfn.XLOOKUP($C553,'Plaza SP Tar'!$C:$C,'Plaza SP Tar'!J:J)</f>
        <v>6916818.2687932942</v>
      </c>
      <c r="P553" s="1">
        <v>45000</v>
      </c>
      <c r="Q553" s="1">
        <f>_xlfn.XLOOKUP($C553,'Plaza SP Tar'!$C:$C,'Plaza SP Tar'!K:K)</f>
        <v>7410876.7165642446</v>
      </c>
      <c r="R553">
        <v>50000</v>
      </c>
    </row>
    <row r="554" spans="1:18" x14ac:dyDescent="0.25">
      <c r="A554" t="s">
        <v>528</v>
      </c>
      <c r="B554" t="s">
        <v>593</v>
      </c>
      <c r="C554" t="s">
        <v>601</v>
      </c>
      <c r="D554" s="1">
        <v>2567581</v>
      </c>
      <c r="E554" s="1">
        <f>_xlfn.XLOOKUP($C554,'Plaza SP Tar'!$C:$C,'Plaza SP Tar'!E:E)</f>
        <v>2802596.8393450165</v>
      </c>
      <c r="F554" s="1">
        <v>10000</v>
      </c>
      <c r="G554" s="1">
        <f>_xlfn.XLOOKUP($C554,'Plaza SP Tar'!$C:$C,'Plaza SP Tar'!F:F)</f>
        <v>3202967.8163943049</v>
      </c>
      <c r="H554" s="1">
        <v>18000</v>
      </c>
      <c r="I554" s="1">
        <f>_xlfn.XLOOKUP($C554,'Plaza SP Tar'!$C:$C,'Plaza SP Tar'!G:G)</f>
        <v>3523264.5980337346</v>
      </c>
      <c r="J554" s="1">
        <v>25000</v>
      </c>
      <c r="K554" s="1">
        <f>_xlfn.XLOOKUP($C554,'Plaza SP Tar'!$C:$C,'Plaza SP Tar'!H:H)</f>
        <v>3843561.3796731653</v>
      </c>
      <c r="L554" s="1">
        <v>30000</v>
      </c>
      <c r="M554" s="1">
        <f>_xlfn.XLOOKUP($C554,'Plaza SP Tar'!$C:$C,'Plaza SP Tar'!I:I)</f>
        <v>4163858.1613125959</v>
      </c>
      <c r="N554" s="1">
        <v>40000</v>
      </c>
      <c r="O554" s="1">
        <f>_xlfn.XLOOKUP($C554,'Plaza SP Tar'!$C:$C,'Plaza SP Tar'!J:J)</f>
        <v>4484154.9429520257</v>
      </c>
      <c r="P554" s="1">
        <v>45000</v>
      </c>
      <c r="Q554" s="1">
        <f>_xlfn.XLOOKUP($C554,'Plaza SP Tar'!$C:$C,'Plaza SP Tar'!K:K)</f>
        <v>4804451.7245914564</v>
      </c>
      <c r="R554">
        <v>50000</v>
      </c>
    </row>
    <row r="555" spans="1:18" x14ac:dyDescent="0.25">
      <c r="A555" t="s">
        <v>528</v>
      </c>
      <c r="B555" t="s">
        <v>593</v>
      </c>
      <c r="C555" t="s">
        <v>602</v>
      </c>
      <c r="D555" s="1">
        <v>5545811</v>
      </c>
      <c r="E555" s="1">
        <f>_xlfn.XLOOKUP($C555,'Plaza SP Tar'!$C:$C,'Plaza SP Tar'!E:E)</f>
        <v>6053430.2053975416</v>
      </c>
      <c r="F555" s="1">
        <v>10000</v>
      </c>
      <c r="G555" s="1">
        <f>_xlfn.XLOOKUP($C555,'Plaza SP Tar'!$C:$C,'Plaza SP Tar'!F:F)</f>
        <v>6918205.9490257623</v>
      </c>
      <c r="H555" s="1">
        <v>18000</v>
      </c>
      <c r="I555" s="1">
        <f>_xlfn.XLOOKUP($C555,'Plaza SP Tar'!$C:$C,'Plaza SP Tar'!G:G)</f>
        <v>7610026.5439283373</v>
      </c>
      <c r="J555" s="1">
        <v>25000</v>
      </c>
      <c r="K555" s="1">
        <f>_xlfn.XLOOKUP($C555,'Plaza SP Tar'!$C:$C,'Plaza SP Tar'!H:H)</f>
        <v>8301847.1388309142</v>
      </c>
      <c r="L555" s="1">
        <v>30000</v>
      </c>
      <c r="M555" s="1">
        <f>_xlfn.XLOOKUP($C555,'Plaza SP Tar'!$C:$C,'Plaza SP Tar'!I:I)</f>
        <v>8993667.7337334901</v>
      </c>
      <c r="N555" s="1">
        <v>40000</v>
      </c>
      <c r="O555" s="1">
        <f>_xlfn.XLOOKUP($C555,'Plaza SP Tar'!$C:$C,'Plaza SP Tar'!J:J)</f>
        <v>9685488.3286360651</v>
      </c>
      <c r="P555" s="1">
        <v>45000</v>
      </c>
      <c r="Q555" s="1">
        <f>_xlfn.XLOOKUP($C555,'Plaza SP Tar'!$C:$C,'Plaza SP Tar'!K:K)</f>
        <v>10377308.923538642</v>
      </c>
      <c r="R555">
        <v>50000</v>
      </c>
    </row>
    <row r="556" spans="1:18" x14ac:dyDescent="0.25">
      <c r="A556" t="s">
        <v>528</v>
      </c>
      <c r="B556" t="s">
        <v>593</v>
      </c>
      <c r="C556" t="s">
        <v>603</v>
      </c>
      <c r="D556" s="1">
        <v>4082179</v>
      </c>
      <c r="E556" s="1">
        <f>_xlfn.XLOOKUP($C556,'Plaza SP Tar'!$C:$C,'Plaza SP Tar'!E:E)</f>
        <v>4455829.0324786641</v>
      </c>
      <c r="F556" s="1">
        <v>10000</v>
      </c>
      <c r="G556" s="1">
        <f>_xlfn.XLOOKUP($C556,'Plaza SP Tar'!$C:$C,'Plaza SP Tar'!F:F)</f>
        <v>5092376.0371184731</v>
      </c>
      <c r="H556" s="1">
        <v>18000</v>
      </c>
      <c r="I556" s="1">
        <f>_xlfn.XLOOKUP($C556,'Plaza SP Tar'!$C:$C,'Plaza SP Tar'!G:G)</f>
        <v>5601613.6408303194</v>
      </c>
      <c r="J556" s="1">
        <v>25000</v>
      </c>
      <c r="K556" s="1">
        <f>_xlfn.XLOOKUP($C556,'Plaza SP Tar'!$C:$C,'Plaza SP Tar'!H:H)</f>
        <v>6110851.2445421675</v>
      </c>
      <c r="L556" s="1">
        <v>30000</v>
      </c>
      <c r="M556" s="1">
        <f>_xlfn.XLOOKUP($C556,'Plaza SP Tar'!$C:$C,'Plaza SP Tar'!I:I)</f>
        <v>6620088.8482540147</v>
      </c>
      <c r="N556" s="1">
        <v>40000</v>
      </c>
      <c r="O556" s="1">
        <f>_xlfn.XLOOKUP($C556,'Plaza SP Tar'!$C:$C,'Plaza SP Tar'!J:J)</f>
        <v>7129326.451965862</v>
      </c>
      <c r="P556" s="1">
        <v>45000</v>
      </c>
      <c r="Q556" s="1">
        <f>_xlfn.XLOOKUP($C556,'Plaza SP Tar'!$C:$C,'Plaza SP Tar'!K:K)</f>
        <v>7638564.0556777092</v>
      </c>
      <c r="R556">
        <v>50000</v>
      </c>
    </row>
    <row r="557" spans="1:18" x14ac:dyDescent="0.25">
      <c r="A557" t="s">
        <v>528</v>
      </c>
      <c r="B557" t="s">
        <v>593</v>
      </c>
      <c r="C557" t="s">
        <v>604</v>
      </c>
      <c r="D557" s="1">
        <v>7622451</v>
      </c>
      <c r="E557" s="1">
        <f>_xlfn.XLOOKUP($C557,'Plaza SP Tar'!$C:$C,'Plaza SP Tar'!E:E)</f>
        <v>8320149.2302140659</v>
      </c>
      <c r="F557" s="1">
        <v>10000</v>
      </c>
      <c r="G557" s="1">
        <f>_xlfn.XLOOKUP($C557,'Plaza SP Tar'!$C:$C,'Plaza SP Tar'!F:F)</f>
        <v>9508741.9773875028</v>
      </c>
      <c r="H557" s="1">
        <v>18000</v>
      </c>
      <c r="I557" s="1">
        <f>_xlfn.XLOOKUP($C557,'Plaza SP Tar'!$C:$C,'Plaza SP Tar'!G:G)</f>
        <v>10459616.175126253</v>
      </c>
      <c r="J557" s="1">
        <v>25000</v>
      </c>
      <c r="K557" s="1">
        <f>_xlfn.XLOOKUP($C557,'Plaza SP Tar'!$C:$C,'Plaza SP Tar'!H:H)</f>
        <v>11410490.372865004</v>
      </c>
      <c r="L557" s="1">
        <v>30000</v>
      </c>
      <c r="M557" s="1">
        <f>_xlfn.XLOOKUP($C557,'Plaza SP Tar'!$C:$C,'Plaza SP Tar'!I:I)</f>
        <v>12361364.570603754</v>
      </c>
      <c r="N557" s="1">
        <v>40000</v>
      </c>
      <c r="O557" s="1">
        <f>_xlfn.XLOOKUP($C557,'Plaza SP Tar'!$C:$C,'Plaza SP Tar'!J:J)</f>
        <v>13312238.768342504</v>
      </c>
      <c r="P557" s="1">
        <v>45000</v>
      </c>
      <c r="Q557" s="1">
        <f>_xlfn.XLOOKUP($C557,'Plaza SP Tar'!$C:$C,'Plaza SP Tar'!K:K)</f>
        <v>14263112.966081254</v>
      </c>
      <c r="R557">
        <v>50000</v>
      </c>
    </row>
    <row r="558" spans="1:18" x14ac:dyDescent="0.25">
      <c r="A558" t="s">
        <v>528</v>
      </c>
      <c r="B558" t="s">
        <v>593</v>
      </c>
      <c r="C558" t="s">
        <v>605</v>
      </c>
      <c r="D558" s="1">
        <v>6581905</v>
      </c>
      <c r="E558" s="1">
        <f>_xlfn.XLOOKUP($C558,'Plaza SP Tar'!$C:$C,'Plaza SP Tar'!E:E)</f>
        <v>7184359.96756058</v>
      </c>
      <c r="F558" s="1">
        <v>10000</v>
      </c>
      <c r="G558" s="1">
        <f>_xlfn.XLOOKUP($C558,'Plaza SP Tar'!$C:$C,'Plaza SP Tar'!F:F)</f>
        <v>8210697.1057835203</v>
      </c>
      <c r="H558" s="1">
        <v>18000</v>
      </c>
      <c r="I558" s="1">
        <f>_xlfn.XLOOKUP($C558,'Plaza SP Tar'!$C:$C,'Plaza SP Tar'!G:G)</f>
        <v>9031766.8163618706</v>
      </c>
      <c r="J558" s="1">
        <v>25000</v>
      </c>
      <c r="K558" s="1">
        <f>_xlfn.XLOOKUP($C558,'Plaza SP Tar'!$C:$C,'Plaza SP Tar'!H:H)</f>
        <v>9852836.5269402228</v>
      </c>
      <c r="L558" s="1">
        <v>30000</v>
      </c>
      <c r="M558" s="1">
        <f>_xlfn.XLOOKUP($C558,'Plaza SP Tar'!$C:$C,'Plaza SP Tar'!I:I)</f>
        <v>10673906.237518575</v>
      </c>
      <c r="N558" s="1">
        <v>40000</v>
      </c>
      <c r="O558" s="1">
        <f>_xlfn.XLOOKUP($C558,'Plaza SP Tar'!$C:$C,'Plaza SP Tar'!J:J)</f>
        <v>11494975.948096927</v>
      </c>
      <c r="P558" s="1">
        <v>45000</v>
      </c>
      <c r="Q558" s="1">
        <f>_xlfn.XLOOKUP($C558,'Plaza SP Tar'!$C:$C,'Plaza SP Tar'!K:K)</f>
        <v>12316045.658675279</v>
      </c>
      <c r="R558">
        <v>50000</v>
      </c>
    </row>
    <row r="559" spans="1:18" x14ac:dyDescent="0.25">
      <c r="A559" t="s">
        <v>528</v>
      </c>
      <c r="B559" t="s">
        <v>593</v>
      </c>
      <c r="C559" t="s">
        <v>606</v>
      </c>
      <c r="D559" s="1">
        <v>8968869</v>
      </c>
      <c r="E559" s="1">
        <f>_xlfn.XLOOKUP($C559,'Plaza SP Tar'!$C:$C,'Plaza SP Tar'!E:E)</f>
        <v>9789807.5705886204</v>
      </c>
      <c r="F559" s="1">
        <v>10000</v>
      </c>
      <c r="G559" s="1">
        <f>_xlfn.XLOOKUP($C559,'Plaza SP Tar'!$C:$C,'Plaza SP Tar'!F:F)</f>
        <v>11188351.509244137</v>
      </c>
      <c r="H559" s="1">
        <v>18000</v>
      </c>
      <c r="I559" s="1">
        <f>_xlfn.XLOOKUP($C559,'Plaza SP Tar'!$C:$C,'Plaza SP Tar'!G:G)</f>
        <v>12307186.660168549</v>
      </c>
      <c r="J559" s="1">
        <v>25000</v>
      </c>
      <c r="K559" s="1">
        <f>_xlfn.XLOOKUP($C559,'Plaza SP Tar'!$C:$C,'Plaza SP Tar'!H:H)</f>
        <v>13426021.811092963</v>
      </c>
      <c r="L559" s="1">
        <v>30000</v>
      </c>
      <c r="M559" s="1">
        <f>_xlfn.XLOOKUP($C559,'Plaza SP Tar'!$C:$C,'Plaza SP Tar'!I:I)</f>
        <v>14544856.962017378</v>
      </c>
      <c r="N559" s="1">
        <v>40000</v>
      </c>
      <c r="O559" s="1">
        <f>_xlfn.XLOOKUP($C559,'Plaza SP Tar'!$C:$C,'Plaza SP Tar'!J:J)</f>
        <v>15663692.11294179</v>
      </c>
      <c r="P559" s="1">
        <v>45000</v>
      </c>
      <c r="Q559" s="1">
        <f>_xlfn.XLOOKUP($C559,'Plaza SP Tar'!$C:$C,'Plaza SP Tar'!K:K)</f>
        <v>16782527.263866205</v>
      </c>
      <c r="R559">
        <v>50000</v>
      </c>
    </row>
    <row r="560" spans="1:18" x14ac:dyDescent="0.25">
      <c r="A560" t="s">
        <v>528</v>
      </c>
      <c r="B560" t="s">
        <v>593</v>
      </c>
      <c r="C560" t="s">
        <v>607</v>
      </c>
      <c r="D560" s="1">
        <v>6187132</v>
      </c>
      <c r="E560" s="1">
        <f>_xlfn.XLOOKUP($C560,'Plaza SP Tar'!$C:$C,'Plaza SP Tar'!E:E)</f>
        <v>6753452.6029793844</v>
      </c>
      <c r="F560" s="1">
        <v>10000</v>
      </c>
      <c r="G560" s="1">
        <f>_xlfn.XLOOKUP($C560,'Plaza SP Tar'!$C:$C,'Plaza SP Tar'!F:F)</f>
        <v>7718231.5462621534</v>
      </c>
      <c r="H560" s="1">
        <v>18000</v>
      </c>
      <c r="I560" s="1">
        <f>_xlfn.XLOOKUP($C560,'Plaza SP Tar'!$C:$C,'Plaza SP Tar'!G:G)</f>
        <v>8490054.7008883674</v>
      </c>
      <c r="J560" s="1">
        <v>25000</v>
      </c>
      <c r="K560" s="1">
        <f>_xlfn.XLOOKUP($C560,'Plaza SP Tar'!$C:$C,'Plaza SP Tar'!H:H)</f>
        <v>9261877.8555145841</v>
      </c>
      <c r="L560" s="1">
        <v>30000</v>
      </c>
      <c r="M560" s="1">
        <f>_xlfn.XLOOKUP($C560,'Plaza SP Tar'!$C:$C,'Plaza SP Tar'!I:I)</f>
        <v>10033701.010140799</v>
      </c>
      <c r="N560" s="1">
        <v>40000</v>
      </c>
      <c r="O560" s="1">
        <f>_xlfn.XLOOKUP($C560,'Plaza SP Tar'!$C:$C,'Plaza SP Tar'!J:J)</f>
        <v>10805524.164767014</v>
      </c>
      <c r="P560" s="1">
        <v>45000</v>
      </c>
      <c r="Q560" s="1">
        <f>_xlfn.XLOOKUP($C560,'Plaza SP Tar'!$C:$C,'Plaza SP Tar'!K:K)</f>
        <v>11577347.319393231</v>
      </c>
      <c r="R560">
        <v>50000</v>
      </c>
    </row>
    <row r="561" spans="1:18" x14ac:dyDescent="0.25">
      <c r="A561" t="s">
        <v>608</v>
      </c>
      <c r="B561" t="s">
        <v>609</v>
      </c>
      <c r="C561" t="s">
        <v>610</v>
      </c>
      <c r="D561" s="1">
        <v>2854968</v>
      </c>
      <c r="E561" s="1">
        <f>_xlfn.XLOOKUP($C561,'Plaza SP Tar'!$C:$C,'Plaza SP Tar'!E:E)</f>
        <v>3116288.9479362727</v>
      </c>
      <c r="F561" s="1">
        <v>10000</v>
      </c>
      <c r="G561" s="1">
        <f>_xlfn.XLOOKUP($C561,'Plaza SP Tar'!$C:$C,'Plaza SP Tar'!F:F)</f>
        <v>3561473.0833557402</v>
      </c>
      <c r="H561" s="1">
        <v>18000</v>
      </c>
      <c r="I561" s="1">
        <f>_xlfn.XLOOKUP($C561,'Plaza SP Tar'!$C:$C,'Plaza SP Tar'!G:G)</f>
        <v>3917620.3916913141</v>
      </c>
      <c r="J561" s="1">
        <v>25000</v>
      </c>
      <c r="K561" s="1">
        <f>_xlfn.XLOOKUP($C561,'Plaza SP Tar'!$C:$C,'Plaza SP Tar'!H:H)</f>
        <v>4273767.7000268884</v>
      </c>
      <c r="L561" s="1">
        <v>30000</v>
      </c>
      <c r="M561" s="1">
        <f>_xlfn.XLOOKUP($C561,'Plaza SP Tar'!$C:$C,'Plaza SP Tar'!I:I)</f>
        <v>4629915.0083624627</v>
      </c>
      <c r="N561" s="1">
        <v>40000</v>
      </c>
      <c r="O561" s="1">
        <f>_xlfn.XLOOKUP($C561,'Plaza SP Tar'!$C:$C,'Plaza SP Tar'!J:J)</f>
        <v>4986062.3166980362</v>
      </c>
      <c r="P561" s="1">
        <v>45000</v>
      </c>
      <c r="Q561" s="1">
        <f>_xlfn.XLOOKUP($C561,'Plaza SP Tar'!$C:$C,'Plaza SP Tar'!K:K)</f>
        <v>5342209.6250336105</v>
      </c>
      <c r="R561">
        <v>50000</v>
      </c>
    </row>
    <row r="562" spans="1:18" x14ac:dyDescent="0.25">
      <c r="A562" t="s">
        <v>608</v>
      </c>
      <c r="B562" t="s">
        <v>609</v>
      </c>
      <c r="C562" t="s">
        <v>611</v>
      </c>
      <c r="D562" s="1">
        <v>9965390</v>
      </c>
      <c r="E562" s="1">
        <f>_xlfn.XLOOKUP($C562,'Plaza SP Tar'!$C:$C,'Plaza SP Tar'!E:E)</f>
        <v>10877542.136680569</v>
      </c>
      <c r="F562" s="1">
        <v>10000</v>
      </c>
      <c r="G562" s="1">
        <f>_xlfn.XLOOKUP($C562,'Plaza SP Tar'!$C:$C,'Plaza SP Tar'!F:F)</f>
        <v>12431476.727634937</v>
      </c>
      <c r="H562" s="1">
        <v>18000</v>
      </c>
      <c r="I562" s="1">
        <f>_xlfn.XLOOKUP($C562,'Plaza SP Tar'!$C:$C,'Plaza SP Tar'!G:G)</f>
        <v>13674624.400398429</v>
      </c>
      <c r="J562" s="1">
        <v>25000</v>
      </c>
      <c r="K562" s="1">
        <f>_xlfn.XLOOKUP($C562,'Plaza SP Tar'!$C:$C,'Plaza SP Tar'!H:H)</f>
        <v>14917772.073161924</v>
      </c>
      <c r="L562" s="1">
        <v>30000</v>
      </c>
      <c r="M562" s="1">
        <f>_xlfn.XLOOKUP($C562,'Plaza SP Tar'!$C:$C,'Plaza SP Tar'!I:I)</f>
        <v>16160919.745925417</v>
      </c>
      <c r="N562" s="1">
        <v>40000</v>
      </c>
      <c r="O562" s="1">
        <f>_xlfn.XLOOKUP($C562,'Plaza SP Tar'!$C:$C,'Plaza SP Tar'!J:J)</f>
        <v>17404067.418688912</v>
      </c>
      <c r="P562" s="1">
        <v>45000</v>
      </c>
      <c r="Q562" s="1">
        <f>_xlfn.XLOOKUP($C562,'Plaza SP Tar'!$C:$C,'Plaza SP Tar'!K:K)</f>
        <v>18647215.091452405</v>
      </c>
      <c r="R562">
        <v>50000</v>
      </c>
    </row>
    <row r="563" spans="1:18" x14ac:dyDescent="0.25">
      <c r="A563" t="s">
        <v>608</v>
      </c>
      <c r="B563" t="s">
        <v>609</v>
      </c>
      <c r="C563" t="s">
        <v>612</v>
      </c>
      <c r="D563" s="1">
        <v>7782550</v>
      </c>
      <c r="E563" s="1">
        <f>_xlfn.XLOOKUP($C563,'Plaza SP Tar'!$C:$C,'Plaza SP Tar'!E:E)</f>
        <v>8494902.4128331523</v>
      </c>
      <c r="F563" s="1">
        <v>10000</v>
      </c>
      <c r="G563" s="1">
        <f>_xlfn.XLOOKUP($C563,'Plaza SP Tar'!$C:$C,'Plaza SP Tar'!F:F)</f>
        <v>9708459.9003807455</v>
      </c>
      <c r="H563" s="1">
        <v>18000</v>
      </c>
      <c r="I563" s="1">
        <f>_xlfn.XLOOKUP($C563,'Plaza SP Tar'!$C:$C,'Plaza SP Tar'!G:G)</f>
        <v>10679305.890418818</v>
      </c>
      <c r="J563" s="1">
        <v>25000</v>
      </c>
      <c r="K563" s="1">
        <f>_xlfn.XLOOKUP($C563,'Plaza SP Tar'!$C:$C,'Plaza SP Tar'!H:H)</f>
        <v>11650151.880456895</v>
      </c>
      <c r="L563" s="1">
        <v>30000</v>
      </c>
      <c r="M563" s="1">
        <f>_xlfn.XLOOKUP($C563,'Plaza SP Tar'!$C:$C,'Plaza SP Tar'!I:I)</f>
        <v>12620997.870494969</v>
      </c>
      <c r="N563" s="1">
        <v>40000</v>
      </c>
      <c r="O563" s="1">
        <f>_xlfn.XLOOKUP($C563,'Plaza SP Tar'!$C:$C,'Plaza SP Tar'!J:J)</f>
        <v>13591843.860533042</v>
      </c>
      <c r="P563" s="1">
        <v>45000</v>
      </c>
      <c r="Q563" s="1">
        <f>_xlfn.XLOOKUP($C563,'Plaza SP Tar'!$C:$C,'Plaza SP Tar'!K:K)</f>
        <v>14562689.850571118</v>
      </c>
      <c r="R563">
        <v>50000</v>
      </c>
    </row>
    <row r="564" spans="1:18" x14ac:dyDescent="0.25">
      <c r="A564" t="s">
        <v>608</v>
      </c>
      <c r="B564" t="s">
        <v>609</v>
      </c>
      <c r="C564" t="s">
        <v>613</v>
      </c>
      <c r="D564" s="1">
        <v>2569445</v>
      </c>
      <c r="E564" s="1">
        <f>_xlfn.XLOOKUP($C564,'Plaza SP Tar'!$C:$C,'Plaza SP Tar'!E:E)</f>
        <v>2804631.45500409</v>
      </c>
      <c r="F564" s="1">
        <v>10000</v>
      </c>
      <c r="G564" s="1">
        <f>_xlfn.XLOOKUP($C564,'Plaza SP Tar'!$C:$C,'Plaza SP Tar'!F:F)</f>
        <v>3205293.0914332457</v>
      </c>
      <c r="H564" s="1">
        <v>18000</v>
      </c>
      <c r="I564" s="1">
        <f>_xlfn.XLOOKUP($C564,'Plaza SP Tar'!$C:$C,'Plaza SP Tar'!G:G)</f>
        <v>3525822.4005765696</v>
      </c>
      <c r="J564" s="1">
        <v>25000</v>
      </c>
      <c r="K564" s="1">
        <f>_xlfn.XLOOKUP($C564,'Plaza SP Tar'!$C:$C,'Plaza SP Tar'!H:H)</f>
        <v>3846351.7097198945</v>
      </c>
      <c r="L564" s="1">
        <v>30000</v>
      </c>
      <c r="M564" s="1">
        <f>_xlfn.XLOOKUP($C564,'Plaza SP Tar'!$C:$C,'Plaza SP Tar'!I:I)</f>
        <v>4166881.0188632193</v>
      </c>
      <c r="N564" s="1">
        <v>40000</v>
      </c>
      <c r="O564" s="1">
        <f>_xlfn.XLOOKUP($C564,'Plaza SP Tar'!$C:$C,'Plaza SP Tar'!J:J)</f>
        <v>4487410.3280065432</v>
      </c>
      <c r="P564" s="1">
        <v>45000</v>
      </c>
      <c r="Q564" s="1">
        <f>_xlfn.XLOOKUP($C564,'Plaza SP Tar'!$C:$C,'Plaza SP Tar'!K:K)</f>
        <v>4807939.6371498676</v>
      </c>
      <c r="R564">
        <v>50000</v>
      </c>
    </row>
    <row r="565" spans="1:18" x14ac:dyDescent="0.25">
      <c r="A565" t="s">
        <v>608</v>
      </c>
      <c r="B565" t="s">
        <v>609</v>
      </c>
      <c r="C565" t="s">
        <v>614</v>
      </c>
      <c r="D565" s="1">
        <v>2912824</v>
      </c>
      <c r="E565" s="1">
        <f>_xlfn.XLOOKUP($C565,'Plaza SP Tar'!$C:$C,'Plaza SP Tar'!E:E)</f>
        <v>3179440.6236719731</v>
      </c>
      <c r="F565" s="1">
        <v>10000</v>
      </c>
      <c r="G565" s="1">
        <f>_xlfn.XLOOKUP($C565,'Plaza SP Tar'!$C:$C,'Plaza SP Tar'!F:F)</f>
        <v>3633646.4270536834</v>
      </c>
      <c r="H565" s="1">
        <v>18000</v>
      </c>
      <c r="I565" s="1">
        <f>_xlfn.XLOOKUP($C565,'Plaza SP Tar'!$C:$C,'Plaza SP Tar'!G:G)</f>
        <v>3997011.0697590513</v>
      </c>
      <c r="J565" s="1">
        <v>25000</v>
      </c>
      <c r="K565" s="1">
        <f>_xlfn.XLOOKUP($C565,'Plaza SP Tar'!$C:$C,'Plaza SP Tar'!H:H)</f>
        <v>4360375.7124644201</v>
      </c>
      <c r="L565" s="1">
        <v>30000</v>
      </c>
      <c r="M565" s="1">
        <f>_xlfn.XLOOKUP($C565,'Plaza SP Tar'!$C:$C,'Plaza SP Tar'!I:I)</f>
        <v>4723740.3551697889</v>
      </c>
      <c r="N565" s="1">
        <v>40000</v>
      </c>
      <c r="O565" s="1">
        <f>_xlfn.XLOOKUP($C565,'Plaza SP Tar'!$C:$C,'Plaza SP Tar'!J:J)</f>
        <v>5087104.9978751568</v>
      </c>
      <c r="P565" s="1">
        <v>45000</v>
      </c>
      <c r="Q565" s="1">
        <f>_xlfn.XLOOKUP($C565,'Plaza SP Tar'!$C:$C,'Plaza SP Tar'!K:K)</f>
        <v>5450469.6405805247</v>
      </c>
      <c r="R565">
        <v>50000</v>
      </c>
    </row>
    <row r="566" spans="1:18" x14ac:dyDescent="0.25">
      <c r="A566" t="s">
        <v>608</v>
      </c>
      <c r="B566" t="s">
        <v>609</v>
      </c>
      <c r="C566" t="s">
        <v>615</v>
      </c>
      <c r="D566" s="1">
        <v>7893039</v>
      </c>
      <c r="E566" s="1">
        <f>_xlfn.XLOOKUP($C566,'Plaza SP Tar'!$C:$C,'Plaza SP Tar'!E:E)</f>
        <v>8615504.6926375255</v>
      </c>
      <c r="F566" s="1">
        <v>10000</v>
      </c>
      <c r="G566" s="1">
        <f>_xlfn.XLOOKUP($C566,'Plaza SP Tar'!$C:$C,'Plaza SP Tar'!F:F)</f>
        <v>9846291.0773000289</v>
      </c>
      <c r="H566" s="1">
        <v>18000</v>
      </c>
      <c r="I566" s="1">
        <f>_xlfn.XLOOKUP($C566,'Plaza SP Tar'!$C:$C,'Plaza SP Tar'!G:G)</f>
        <v>10830920.18503003</v>
      </c>
      <c r="J566" s="1">
        <v>25000</v>
      </c>
      <c r="K566" s="1">
        <f>_xlfn.XLOOKUP($C566,'Plaza SP Tar'!$C:$C,'Plaza SP Tar'!H:H)</f>
        <v>11815549.292760035</v>
      </c>
      <c r="L566" s="1">
        <v>30000</v>
      </c>
      <c r="M566" s="1">
        <f>_xlfn.XLOOKUP($C566,'Plaza SP Tar'!$C:$C,'Plaza SP Tar'!I:I)</f>
        <v>12800178.400490038</v>
      </c>
      <c r="N566" s="1">
        <v>40000</v>
      </c>
      <c r="O566" s="1">
        <f>_xlfn.XLOOKUP($C566,'Plaza SP Tar'!$C:$C,'Plaza SP Tar'!J:J)</f>
        <v>13784807.508220039</v>
      </c>
      <c r="P566" s="1">
        <v>45000</v>
      </c>
      <c r="Q566" s="1">
        <f>_xlfn.XLOOKUP($C566,'Plaza SP Tar'!$C:$C,'Plaza SP Tar'!K:K)</f>
        <v>14769436.615950042</v>
      </c>
      <c r="R566">
        <v>50000</v>
      </c>
    </row>
    <row r="567" spans="1:18" x14ac:dyDescent="0.25">
      <c r="A567" t="s">
        <v>608</v>
      </c>
      <c r="B567" t="s">
        <v>609</v>
      </c>
      <c r="C567" t="s">
        <v>616</v>
      </c>
      <c r="D567" s="1">
        <v>2146958</v>
      </c>
      <c r="E567" s="1">
        <f>_xlfn.XLOOKUP($C567,'Plaza SP Tar'!$C:$C,'Plaza SP Tar'!E:E)</f>
        <v>2343473.3724102564</v>
      </c>
      <c r="F567" s="1">
        <v>10000</v>
      </c>
      <c r="G567" s="1">
        <f>_xlfn.XLOOKUP($C567,'Plaza SP Tar'!$C:$C,'Plaza SP Tar'!F:F)</f>
        <v>2678255.2827545786</v>
      </c>
      <c r="H567" s="1">
        <v>18000</v>
      </c>
      <c r="I567" s="1">
        <f>_xlfn.XLOOKUP($C567,'Plaza SP Tar'!$C:$C,'Plaza SP Tar'!G:G)</f>
        <v>2946080.8110300358</v>
      </c>
      <c r="J567" s="1">
        <v>25000</v>
      </c>
      <c r="K567" s="1">
        <f>_xlfn.XLOOKUP($C567,'Plaza SP Tar'!$C:$C,'Plaza SP Tar'!H:H)</f>
        <v>3213906.339305494</v>
      </c>
      <c r="L567" s="1">
        <v>30000</v>
      </c>
      <c r="M567" s="1">
        <f>_xlfn.XLOOKUP($C567,'Plaza SP Tar'!$C:$C,'Plaza SP Tar'!I:I)</f>
        <v>3481731.8675809521</v>
      </c>
      <c r="N567" s="1">
        <v>40000</v>
      </c>
      <c r="O567" s="1">
        <f>_xlfn.XLOOKUP($C567,'Plaza SP Tar'!$C:$C,'Plaza SP Tar'!J:J)</f>
        <v>3749557.3958564093</v>
      </c>
      <c r="P567" s="1">
        <v>45000</v>
      </c>
      <c r="Q567" s="1">
        <f>_xlfn.XLOOKUP($C567,'Plaza SP Tar'!$C:$C,'Plaza SP Tar'!K:K)</f>
        <v>4017382.9241318675</v>
      </c>
      <c r="R567">
        <v>50000</v>
      </c>
    </row>
    <row r="568" spans="1:18" x14ac:dyDescent="0.25">
      <c r="A568" t="s">
        <v>608</v>
      </c>
      <c r="B568" t="s">
        <v>609</v>
      </c>
      <c r="C568" t="s">
        <v>617</v>
      </c>
      <c r="D568" s="1">
        <v>3251753</v>
      </c>
      <c r="E568" s="1">
        <f>_xlfn.XLOOKUP($C568,'Plaza SP Tar'!$C:$C,'Plaza SP Tar'!E:E)</f>
        <v>3549392.4749134206</v>
      </c>
      <c r="F568" s="1">
        <v>10000</v>
      </c>
      <c r="G568" s="1">
        <f>_xlfn.XLOOKUP($C568,'Plaza SP Tar'!$C:$C,'Plaza SP Tar'!F:F)</f>
        <v>4056448.5427581952</v>
      </c>
      <c r="H568" s="1">
        <v>18000</v>
      </c>
      <c r="I568" s="1">
        <f>_xlfn.XLOOKUP($C568,'Plaza SP Tar'!$C:$C,'Plaza SP Tar'!G:G)</f>
        <v>4462093.3970340136</v>
      </c>
      <c r="J568" s="1">
        <v>25000</v>
      </c>
      <c r="K568" s="1">
        <f>_xlfn.XLOOKUP($C568,'Plaza SP Tar'!$C:$C,'Plaza SP Tar'!H:H)</f>
        <v>4867738.2513098335</v>
      </c>
      <c r="L568" s="1">
        <v>30000</v>
      </c>
      <c r="M568" s="1">
        <f>_xlfn.XLOOKUP($C568,'Plaza SP Tar'!$C:$C,'Plaza SP Tar'!I:I)</f>
        <v>5273383.1055856533</v>
      </c>
      <c r="N568" s="1">
        <v>40000</v>
      </c>
      <c r="O568" s="1">
        <f>_xlfn.XLOOKUP($C568,'Plaza SP Tar'!$C:$C,'Plaza SP Tar'!J:J)</f>
        <v>5679027.9598614722</v>
      </c>
      <c r="P568" s="1">
        <v>45000</v>
      </c>
      <c r="Q568" s="1">
        <f>_xlfn.XLOOKUP($C568,'Plaza SP Tar'!$C:$C,'Plaza SP Tar'!K:K)</f>
        <v>6084672.8141372921</v>
      </c>
      <c r="R568">
        <v>50000</v>
      </c>
    </row>
    <row r="569" spans="1:18" x14ac:dyDescent="0.25">
      <c r="A569" t="s">
        <v>608</v>
      </c>
      <c r="B569" t="s">
        <v>609</v>
      </c>
      <c r="C569" t="s">
        <v>618</v>
      </c>
      <c r="D569" s="1">
        <v>12139144</v>
      </c>
      <c r="E569" s="1">
        <f>_xlfn.XLOOKUP($C569,'Plaza SP Tar'!$C:$C,'Plaza SP Tar'!E:E)</f>
        <v>13250264.200722011</v>
      </c>
      <c r="F569" s="1">
        <v>10000</v>
      </c>
      <c r="G569" s="1">
        <f>_xlfn.XLOOKUP($C569,'Plaza SP Tar'!$C:$C,'Plaza SP Tar'!F:F)</f>
        <v>15143159.086539442</v>
      </c>
      <c r="H569" s="1">
        <v>18000</v>
      </c>
      <c r="I569" s="1">
        <f>_xlfn.XLOOKUP($C569,'Plaza SP Tar'!$C:$C,'Plaza SP Tar'!G:G)</f>
        <v>16657474.995193383</v>
      </c>
      <c r="J569" s="1">
        <v>25000</v>
      </c>
      <c r="K569" s="1">
        <f>_xlfn.XLOOKUP($C569,'Plaza SP Tar'!$C:$C,'Plaza SP Tar'!H:H)</f>
        <v>18171790.903847329</v>
      </c>
      <c r="L569" s="1">
        <v>30000</v>
      </c>
      <c r="M569" s="1">
        <f>_xlfn.XLOOKUP($C569,'Plaza SP Tar'!$C:$C,'Plaza SP Tar'!I:I)</f>
        <v>19686106.812501274</v>
      </c>
      <c r="N569" s="1">
        <v>40000</v>
      </c>
      <c r="O569" s="1">
        <f>_xlfn.XLOOKUP($C569,'Plaza SP Tar'!$C:$C,'Plaza SP Tar'!J:J)</f>
        <v>21200422.721155215</v>
      </c>
      <c r="P569" s="1">
        <v>45000</v>
      </c>
      <c r="Q569" s="1">
        <f>_xlfn.XLOOKUP($C569,'Plaza SP Tar'!$C:$C,'Plaza SP Tar'!K:K)</f>
        <v>22714738.62980916</v>
      </c>
      <c r="R569">
        <v>50000</v>
      </c>
    </row>
    <row r="570" spans="1:18" x14ac:dyDescent="0.25">
      <c r="A570" t="s">
        <v>608</v>
      </c>
      <c r="B570" t="s">
        <v>609</v>
      </c>
      <c r="C570" t="s">
        <v>619</v>
      </c>
      <c r="D570" s="1">
        <v>2352837</v>
      </c>
      <c r="E570" s="1">
        <f>_xlfn.XLOOKUP($C570,'Plaza SP Tar'!$C:$C,'Plaza SP Tar'!E:E)</f>
        <v>2568196.8902613046</v>
      </c>
      <c r="F570" s="1">
        <v>10000</v>
      </c>
      <c r="G570" s="1">
        <f>_xlfn.XLOOKUP($C570,'Plaza SP Tar'!$C:$C,'Plaza SP Tar'!F:F)</f>
        <v>2935082.1602986339</v>
      </c>
      <c r="H570" s="1">
        <v>18000</v>
      </c>
      <c r="I570" s="1">
        <f>_xlfn.XLOOKUP($C570,'Plaza SP Tar'!$C:$C,'Plaza SP Tar'!G:G)</f>
        <v>3228590.3763284967</v>
      </c>
      <c r="J570" s="1">
        <v>25000</v>
      </c>
      <c r="K570" s="1">
        <f>_xlfn.XLOOKUP($C570,'Plaza SP Tar'!$C:$C,'Plaza SP Tar'!H:H)</f>
        <v>3522098.5923583605</v>
      </c>
      <c r="L570" s="1">
        <v>30000</v>
      </c>
      <c r="M570" s="1">
        <f>_xlfn.XLOOKUP($C570,'Plaza SP Tar'!$C:$C,'Plaza SP Tar'!I:I)</f>
        <v>3815606.8083882239</v>
      </c>
      <c r="N570" s="1">
        <v>40000</v>
      </c>
      <c r="O570" s="1">
        <f>_xlfn.XLOOKUP($C570,'Plaza SP Tar'!$C:$C,'Plaza SP Tar'!J:J)</f>
        <v>4109115.0244180867</v>
      </c>
      <c r="P570" s="1">
        <v>45000</v>
      </c>
      <c r="Q570" s="1">
        <f>_xlfn.XLOOKUP($C570,'Plaza SP Tar'!$C:$C,'Plaza SP Tar'!K:K)</f>
        <v>4402623.2404479505</v>
      </c>
      <c r="R570">
        <v>50000</v>
      </c>
    </row>
    <row r="571" spans="1:18" x14ac:dyDescent="0.25">
      <c r="A571" t="s">
        <v>608</v>
      </c>
      <c r="B571" t="s">
        <v>620</v>
      </c>
      <c r="C571" t="s">
        <v>621</v>
      </c>
      <c r="D571" s="1">
        <v>4701627</v>
      </c>
      <c r="E571" s="1">
        <f>_xlfn.XLOOKUP($C571,'Plaza SP Tar'!$C:$C,'Plaza SP Tar'!E:E)</f>
        <v>5131976.3504945673</v>
      </c>
      <c r="F571" s="1">
        <v>10000</v>
      </c>
      <c r="G571" s="1">
        <f>_xlfn.XLOOKUP($C571,'Plaza SP Tar'!$C:$C,'Plaza SP Tar'!F:F)</f>
        <v>5865115.8291366482</v>
      </c>
      <c r="H571" s="1">
        <v>18000</v>
      </c>
      <c r="I571" s="1">
        <f>_xlfn.XLOOKUP($C571,'Plaza SP Tar'!$C:$C,'Plaza SP Tar'!G:G)</f>
        <v>6451627.4120503124</v>
      </c>
      <c r="J571" s="1">
        <v>25000</v>
      </c>
      <c r="K571" s="1">
        <f>_xlfn.XLOOKUP($C571,'Plaza SP Tar'!$C:$C,'Plaza SP Tar'!H:H)</f>
        <v>7038138.9949639775</v>
      </c>
      <c r="L571" s="1">
        <v>30000</v>
      </c>
      <c r="M571" s="1">
        <f>_xlfn.XLOOKUP($C571,'Plaza SP Tar'!$C:$C,'Plaza SP Tar'!I:I)</f>
        <v>7624650.5778776426</v>
      </c>
      <c r="N571" s="1">
        <v>40000</v>
      </c>
      <c r="O571" s="1">
        <f>_xlfn.XLOOKUP($C571,'Plaza SP Tar'!$C:$C,'Plaza SP Tar'!J:J)</f>
        <v>8211162.1607913068</v>
      </c>
      <c r="P571" s="1">
        <v>45000</v>
      </c>
      <c r="Q571" s="1">
        <f>_xlfn.XLOOKUP($C571,'Plaza SP Tar'!$C:$C,'Plaza SP Tar'!K:K)</f>
        <v>8797673.7437049728</v>
      </c>
      <c r="R571">
        <v>50000</v>
      </c>
    </row>
    <row r="572" spans="1:18" x14ac:dyDescent="0.25">
      <c r="A572" t="s">
        <v>608</v>
      </c>
      <c r="B572" t="s">
        <v>620</v>
      </c>
      <c r="C572" t="s">
        <v>622</v>
      </c>
      <c r="D572" s="1">
        <v>3723218</v>
      </c>
      <c r="E572" s="1">
        <f>_xlfn.XLOOKUP($C572,'Plaza SP Tar'!$C:$C,'Plaza SP Tar'!E:E)</f>
        <v>4064011.6120942142</v>
      </c>
      <c r="F572" s="1">
        <v>10000</v>
      </c>
      <c r="G572" s="1">
        <f>_xlfn.XLOOKUP($C572,'Plaza SP Tar'!$C:$C,'Plaza SP Tar'!F:F)</f>
        <v>4644584.6995362444</v>
      </c>
      <c r="H572" s="1">
        <v>18000</v>
      </c>
      <c r="I572" s="1">
        <f>_xlfn.XLOOKUP($C572,'Plaza SP Tar'!$C:$C,'Plaza SP Tar'!G:G)</f>
        <v>5109043.169489868</v>
      </c>
      <c r="J572" s="1">
        <v>25000</v>
      </c>
      <c r="K572" s="1">
        <f>_xlfn.XLOOKUP($C572,'Plaza SP Tar'!$C:$C,'Plaza SP Tar'!H:H)</f>
        <v>5573501.6394434934</v>
      </c>
      <c r="L572" s="1">
        <v>30000</v>
      </c>
      <c r="M572" s="1">
        <f>_xlfn.XLOOKUP($C572,'Plaza SP Tar'!$C:$C,'Plaza SP Tar'!I:I)</f>
        <v>6037960.109397118</v>
      </c>
      <c r="N572" s="1">
        <v>40000</v>
      </c>
      <c r="O572" s="1">
        <f>_xlfn.XLOOKUP($C572,'Plaza SP Tar'!$C:$C,'Plaza SP Tar'!J:J)</f>
        <v>6502418.5793507416</v>
      </c>
      <c r="P572" s="1">
        <v>45000</v>
      </c>
      <c r="Q572" s="1">
        <f>_xlfn.XLOOKUP($C572,'Plaza SP Tar'!$C:$C,'Plaza SP Tar'!K:K)</f>
        <v>6966877.0493043661</v>
      </c>
      <c r="R572">
        <v>50000</v>
      </c>
    </row>
    <row r="573" spans="1:18" x14ac:dyDescent="0.25">
      <c r="A573" t="s">
        <v>608</v>
      </c>
      <c r="B573" t="s">
        <v>620</v>
      </c>
      <c r="C573" t="s">
        <v>623</v>
      </c>
      <c r="D573" s="1">
        <v>3156829</v>
      </c>
      <c r="E573" s="1">
        <f>_xlfn.XLOOKUP($C573,'Plaza SP Tar'!$C:$C,'Plaza SP Tar'!E:E)</f>
        <v>3445779.8907815134</v>
      </c>
      <c r="F573" s="1">
        <v>10000</v>
      </c>
      <c r="G573" s="1">
        <f>_xlfn.XLOOKUP($C573,'Plaza SP Tar'!$C:$C,'Plaza SP Tar'!F:F)</f>
        <v>3938034.1608931585</v>
      </c>
      <c r="H573" s="1">
        <v>18000</v>
      </c>
      <c r="I573" s="1">
        <f>_xlfn.XLOOKUP($C573,'Plaza SP Tar'!$C:$C,'Plaza SP Tar'!G:G)</f>
        <v>4331837.576982474</v>
      </c>
      <c r="J573" s="1">
        <v>25000</v>
      </c>
      <c r="K573" s="1">
        <f>_xlfn.XLOOKUP($C573,'Plaza SP Tar'!$C:$C,'Plaza SP Tar'!H:H)</f>
        <v>4725640.9930717899</v>
      </c>
      <c r="L573" s="1">
        <v>30000</v>
      </c>
      <c r="M573" s="1">
        <f>_xlfn.XLOOKUP($C573,'Plaza SP Tar'!$C:$C,'Plaza SP Tar'!I:I)</f>
        <v>5119444.4091611058</v>
      </c>
      <c r="N573" s="1">
        <v>40000</v>
      </c>
      <c r="O573" s="1">
        <f>_xlfn.XLOOKUP($C573,'Plaza SP Tar'!$C:$C,'Plaza SP Tar'!J:J)</f>
        <v>5513247.8252504207</v>
      </c>
      <c r="P573" s="1">
        <v>45000</v>
      </c>
      <c r="Q573" s="1">
        <f>_xlfn.XLOOKUP($C573,'Plaza SP Tar'!$C:$C,'Plaza SP Tar'!K:K)</f>
        <v>5907051.2413397375</v>
      </c>
      <c r="R573">
        <v>50000</v>
      </c>
    </row>
    <row r="574" spans="1:18" x14ac:dyDescent="0.25">
      <c r="A574" t="s">
        <v>608</v>
      </c>
      <c r="B574" t="s">
        <v>620</v>
      </c>
      <c r="C574" t="s">
        <v>624</v>
      </c>
      <c r="D574" s="1">
        <v>9672028</v>
      </c>
      <c r="E574" s="1">
        <f>_xlfn.XLOOKUP($C574,'Plaza SP Tar'!$C:$C,'Plaza SP Tar'!E:E)</f>
        <v>10557328.124353819</v>
      </c>
      <c r="F574" s="1">
        <v>10000</v>
      </c>
      <c r="G574" s="1">
        <f>_xlfn.XLOOKUP($C574,'Plaza SP Tar'!$C:$C,'Plaza SP Tar'!F:F)</f>
        <v>12065517.856404364</v>
      </c>
      <c r="H574" s="1">
        <v>18000</v>
      </c>
      <c r="I574" s="1">
        <f>_xlfn.XLOOKUP($C574,'Plaza SP Tar'!$C:$C,'Plaza SP Tar'!G:G)</f>
        <v>13272069.642044799</v>
      </c>
      <c r="J574" s="1">
        <v>25000</v>
      </c>
      <c r="K574" s="1">
        <f>_xlfn.XLOOKUP($C574,'Plaza SP Tar'!$C:$C,'Plaza SP Tar'!H:H)</f>
        <v>14478621.427685237</v>
      </c>
      <c r="L574" s="1">
        <v>30000</v>
      </c>
      <c r="M574" s="1">
        <f>_xlfn.XLOOKUP($C574,'Plaza SP Tar'!$C:$C,'Plaza SP Tar'!I:I)</f>
        <v>15685173.213325674</v>
      </c>
      <c r="N574" s="1">
        <v>40000</v>
      </c>
      <c r="O574" s="1">
        <f>_xlfn.XLOOKUP($C574,'Plaza SP Tar'!$C:$C,'Plaza SP Tar'!J:J)</f>
        <v>16891724.998966109</v>
      </c>
      <c r="P574" s="1">
        <v>45000</v>
      </c>
      <c r="Q574" s="1">
        <f>_xlfn.XLOOKUP($C574,'Plaza SP Tar'!$C:$C,'Plaza SP Tar'!K:K)</f>
        <v>18098276.784606546</v>
      </c>
      <c r="R574">
        <v>50000</v>
      </c>
    </row>
    <row r="575" spans="1:18" x14ac:dyDescent="0.25">
      <c r="A575" t="s">
        <v>608</v>
      </c>
      <c r="B575" t="s">
        <v>620</v>
      </c>
      <c r="C575" t="s">
        <v>625</v>
      </c>
      <c r="D575" s="1">
        <v>5380712</v>
      </c>
      <c r="E575" s="1">
        <f>_xlfn.XLOOKUP($C575,'Plaza SP Tar'!$C:$C,'Plaza SP Tar'!E:E)</f>
        <v>5873219.3627487514</v>
      </c>
      <c r="F575" s="1">
        <v>10000</v>
      </c>
      <c r="G575" s="1">
        <f>_xlfn.XLOOKUP($C575,'Plaza SP Tar'!$C:$C,'Plaza SP Tar'!F:F)</f>
        <v>6712250.7002842873</v>
      </c>
      <c r="H575" s="1">
        <v>18000</v>
      </c>
      <c r="I575" s="1">
        <f>_xlfn.XLOOKUP($C575,'Plaza SP Tar'!$C:$C,'Plaza SP Tar'!G:G)</f>
        <v>7383475.7703127153</v>
      </c>
      <c r="J575" s="1">
        <v>25000</v>
      </c>
      <c r="K575" s="1">
        <f>_xlfn.XLOOKUP($C575,'Plaza SP Tar'!$C:$C,'Plaza SP Tar'!H:H)</f>
        <v>8054700.8403411452</v>
      </c>
      <c r="L575" s="1">
        <v>30000</v>
      </c>
      <c r="M575" s="1">
        <f>_xlfn.XLOOKUP($C575,'Plaza SP Tar'!$C:$C,'Plaza SP Tar'!I:I)</f>
        <v>8725925.9103695732</v>
      </c>
      <c r="N575" s="1">
        <v>40000</v>
      </c>
      <c r="O575" s="1">
        <f>_xlfn.XLOOKUP($C575,'Plaza SP Tar'!$C:$C,'Plaza SP Tar'!J:J)</f>
        <v>9397150.9803980011</v>
      </c>
      <c r="P575" s="1">
        <v>45000</v>
      </c>
      <c r="Q575" s="1">
        <f>_xlfn.XLOOKUP($C575,'Plaza SP Tar'!$C:$C,'Plaza SP Tar'!K:K)</f>
        <v>10068376.050426431</v>
      </c>
      <c r="R575">
        <v>50000</v>
      </c>
    </row>
    <row r="576" spans="1:18" x14ac:dyDescent="0.25">
      <c r="A576" t="s">
        <v>608</v>
      </c>
      <c r="B576" t="s">
        <v>620</v>
      </c>
      <c r="C576" t="s">
        <v>626</v>
      </c>
      <c r="D576" s="1">
        <v>4680324</v>
      </c>
      <c r="E576" s="1">
        <f>_xlfn.XLOOKUP($C576,'Plaza SP Tar'!$C:$C,'Plaza SP Tar'!E:E)</f>
        <v>5108723.4441720145</v>
      </c>
      <c r="F576" s="1">
        <v>10000</v>
      </c>
      <c r="G576" s="1">
        <f>_xlfn.XLOOKUP($C576,'Plaza SP Tar'!$C:$C,'Plaza SP Tar'!F:F)</f>
        <v>5838541.0790537307</v>
      </c>
      <c r="H576" s="1">
        <v>18000</v>
      </c>
      <c r="I576" s="1">
        <f>_xlfn.XLOOKUP($C576,'Plaza SP Tar'!$C:$C,'Plaza SP Tar'!G:G)</f>
        <v>6422395.1869591037</v>
      </c>
      <c r="J576" s="1">
        <v>25000</v>
      </c>
      <c r="K576" s="1">
        <f>_xlfn.XLOOKUP($C576,'Plaza SP Tar'!$C:$C,'Plaza SP Tar'!H:H)</f>
        <v>7006249.2948644767</v>
      </c>
      <c r="L576" s="1">
        <v>30000</v>
      </c>
      <c r="M576" s="1">
        <f>_xlfn.XLOOKUP($C576,'Plaza SP Tar'!$C:$C,'Plaza SP Tar'!I:I)</f>
        <v>7590103.4027698496</v>
      </c>
      <c r="N576" s="1">
        <v>40000</v>
      </c>
      <c r="O576" s="1">
        <f>_xlfn.XLOOKUP($C576,'Plaza SP Tar'!$C:$C,'Plaza SP Tar'!J:J)</f>
        <v>8173957.5106752226</v>
      </c>
      <c r="P576" s="1">
        <v>45000</v>
      </c>
      <c r="Q576" s="1">
        <f>_xlfn.XLOOKUP($C576,'Plaza SP Tar'!$C:$C,'Plaza SP Tar'!K:K)</f>
        <v>8757811.6185805965</v>
      </c>
      <c r="R576">
        <v>50000</v>
      </c>
    </row>
    <row r="577" spans="1:18" x14ac:dyDescent="0.25">
      <c r="A577" t="s">
        <v>608</v>
      </c>
      <c r="B577" t="s">
        <v>620</v>
      </c>
      <c r="C577" t="s">
        <v>627</v>
      </c>
      <c r="D577" s="1">
        <v>7937743</v>
      </c>
      <c r="E577" s="1">
        <f>_xlfn.XLOOKUP($C577,'Plaza SP Tar'!$C:$C,'Plaza SP Tar'!E:E)</f>
        <v>8664300.5394310951</v>
      </c>
      <c r="F577" s="1">
        <v>10000</v>
      </c>
      <c r="G577" s="1">
        <f>_xlfn.XLOOKUP($C577,'Plaza SP Tar'!$C:$C,'Plaza SP Tar'!F:F)</f>
        <v>9902057.759349823</v>
      </c>
      <c r="H577" s="1">
        <v>18000</v>
      </c>
      <c r="I577" s="1">
        <f>_xlfn.XLOOKUP($C577,'Plaza SP Tar'!$C:$C,'Plaza SP Tar'!G:G)</f>
        <v>10892263.535284804</v>
      </c>
      <c r="J577" s="1">
        <v>25000</v>
      </c>
      <c r="K577" s="1">
        <f>_xlfn.XLOOKUP($C577,'Plaza SP Tar'!$C:$C,'Plaza SP Tar'!H:H)</f>
        <v>11882469.311219787</v>
      </c>
      <c r="L577" s="1">
        <v>30000</v>
      </c>
      <c r="M577" s="1">
        <f>_xlfn.XLOOKUP($C577,'Plaza SP Tar'!$C:$C,'Plaza SP Tar'!I:I)</f>
        <v>12872675.087154768</v>
      </c>
      <c r="N577" s="1">
        <v>40000</v>
      </c>
      <c r="O577" s="1">
        <f>_xlfn.XLOOKUP($C577,'Plaza SP Tar'!$C:$C,'Plaza SP Tar'!J:J)</f>
        <v>13862880.86308975</v>
      </c>
      <c r="P577" s="1">
        <v>45000</v>
      </c>
      <c r="Q577" s="1">
        <f>_xlfn.XLOOKUP($C577,'Plaza SP Tar'!$C:$C,'Plaza SP Tar'!K:K)</f>
        <v>14853086.639024733</v>
      </c>
      <c r="R577">
        <v>50000</v>
      </c>
    </row>
    <row r="578" spans="1:18" x14ac:dyDescent="0.25">
      <c r="A578" t="s">
        <v>608</v>
      </c>
      <c r="B578" t="s">
        <v>620</v>
      </c>
      <c r="C578" t="s">
        <v>628</v>
      </c>
      <c r="D578" s="1">
        <v>3321679</v>
      </c>
      <c r="E578" s="1">
        <f>_xlfn.XLOOKUP($C578,'Plaza SP Tar'!$C:$C,'Plaza SP Tar'!E:E)</f>
        <v>3625718.9419608242</v>
      </c>
      <c r="F578" s="1">
        <v>10000</v>
      </c>
      <c r="G578" s="1">
        <f>_xlfn.XLOOKUP($C578,'Plaza SP Tar'!$C:$C,'Plaza SP Tar'!F:F)</f>
        <v>4143678.7908123708</v>
      </c>
      <c r="H578" s="1">
        <v>18000</v>
      </c>
      <c r="I578" s="1">
        <f>_xlfn.XLOOKUP($C578,'Plaza SP Tar'!$C:$C,'Plaza SP Tar'!G:G)</f>
        <v>4558046.6698936075</v>
      </c>
      <c r="J578" s="1">
        <v>25000</v>
      </c>
      <c r="K578" s="1">
        <f>_xlfn.XLOOKUP($C578,'Plaza SP Tar'!$C:$C,'Plaza SP Tar'!H:H)</f>
        <v>4972414.5489748446</v>
      </c>
      <c r="L578" s="1">
        <v>30000</v>
      </c>
      <c r="M578" s="1">
        <f>_xlfn.XLOOKUP($C578,'Plaza SP Tar'!$C:$C,'Plaza SP Tar'!I:I)</f>
        <v>5386782.4280560818</v>
      </c>
      <c r="N578" s="1">
        <v>40000</v>
      </c>
      <c r="O578" s="1">
        <f>_xlfn.XLOOKUP($C578,'Plaza SP Tar'!$C:$C,'Plaza SP Tar'!J:J)</f>
        <v>5801150.307137318</v>
      </c>
      <c r="P578" s="1">
        <v>45000</v>
      </c>
      <c r="Q578" s="1">
        <f>_xlfn.XLOOKUP($C578,'Plaza SP Tar'!$C:$C,'Plaza SP Tar'!K:K)</f>
        <v>6215518.186218556</v>
      </c>
      <c r="R578">
        <v>50000</v>
      </c>
    </row>
    <row r="579" spans="1:18" x14ac:dyDescent="0.25">
      <c r="A579" t="s">
        <v>608</v>
      </c>
      <c r="B579" t="s">
        <v>620</v>
      </c>
      <c r="C579" t="s">
        <v>629</v>
      </c>
      <c r="D579" s="1">
        <v>2829529</v>
      </c>
      <c r="E579" s="1">
        <f>_xlfn.XLOOKUP($C579,'Plaza SP Tar'!$C:$C,'Plaza SP Tar'!E:E)</f>
        <v>3088521.4652371495</v>
      </c>
      <c r="F579" s="1">
        <v>10000</v>
      </c>
      <c r="G579" s="1">
        <f>_xlfn.XLOOKUP($C579,'Plaza SP Tar'!$C:$C,'Plaza SP Tar'!F:F)</f>
        <v>3529738.8174138851</v>
      </c>
      <c r="H579" s="1">
        <v>18000</v>
      </c>
      <c r="I579" s="1">
        <f>_xlfn.XLOOKUP($C579,'Plaza SP Tar'!$C:$C,'Plaza SP Tar'!G:G)</f>
        <v>3882712.6991552729</v>
      </c>
      <c r="J579" s="1">
        <v>25000</v>
      </c>
      <c r="K579" s="1">
        <f>_xlfn.XLOOKUP($C579,'Plaza SP Tar'!$C:$C,'Plaza SP Tar'!H:H)</f>
        <v>4235686.5808966616</v>
      </c>
      <c r="L579" s="1">
        <v>30000</v>
      </c>
      <c r="M579" s="1">
        <f>_xlfn.XLOOKUP($C579,'Plaza SP Tar'!$C:$C,'Plaza SP Tar'!I:I)</f>
        <v>4588660.4626380503</v>
      </c>
      <c r="N579" s="1">
        <v>40000</v>
      </c>
      <c r="O579" s="1">
        <f>_xlfn.XLOOKUP($C579,'Plaza SP Tar'!$C:$C,'Plaza SP Tar'!J:J)</f>
        <v>4941634.344379439</v>
      </c>
      <c r="P579" s="1">
        <v>45000</v>
      </c>
      <c r="Q579" s="1">
        <f>_xlfn.XLOOKUP($C579,'Plaza SP Tar'!$C:$C,'Plaza SP Tar'!K:K)</f>
        <v>5294608.2261208277</v>
      </c>
      <c r="R579">
        <v>50000</v>
      </c>
    </row>
    <row r="580" spans="1:18" x14ac:dyDescent="0.25">
      <c r="A580" t="s">
        <v>608</v>
      </c>
      <c r="B580" t="s">
        <v>620</v>
      </c>
      <c r="C580" t="s">
        <v>630</v>
      </c>
      <c r="D580" s="1">
        <v>5381725</v>
      </c>
      <c r="E580" s="1">
        <f>_xlfn.XLOOKUP($C580,'Plaza SP Tar'!$C:$C,'Plaza SP Tar'!E:E)</f>
        <v>5874325.08467077</v>
      </c>
      <c r="F580" s="1">
        <v>10000</v>
      </c>
      <c r="G580" s="1">
        <f>_xlfn.XLOOKUP($C580,'Plaza SP Tar'!$C:$C,'Plaza SP Tar'!F:F)</f>
        <v>6713514.3824808793</v>
      </c>
      <c r="H580" s="1">
        <v>18000</v>
      </c>
      <c r="I580" s="1">
        <f>_xlfn.XLOOKUP($C580,'Plaza SP Tar'!$C:$C,'Plaza SP Tar'!G:G)</f>
        <v>7384865.820728967</v>
      </c>
      <c r="J580" s="1">
        <v>25000</v>
      </c>
      <c r="K580" s="1">
        <f>_xlfn.XLOOKUP($C580,'Plaza SP Tar'!$C:$C,'Plaza SP Tar'!H:H)</f>
        <v>8056217.2589770546</v>
      </c>
      <c r="L580" s="1">
        <v>30000</v>
      </c>
      <c r="M580" s="1">
        <f>_xlfn.XLOOKUP($C580,'Plaza SP Tar'!$C:$C,'Plaza SP Tar'!I:I)</f>
        <v>8727568.6972251441</v>
      </c>
      <c r="N580" s="1">
        <v>40000</v>
      </c>
      <c r="O580" s="1">
        <f>_xlfn.XLOOKUP($C580,'Plaza SP Tar'!$C:$C,'Plaza SP Tar'!J:J)</f>
        <v>9398920.1354732309</v>
      </c>
      <c r="P580" s="1">
        <v>45000</v>
      </c>
      <c r="Q580" s="1">
        <f>_xlfn.XLOOKUP($C580,'Plaza SP Tar'!$C:$C,'Plaza SP Tar'!K:K)</f>
        <v>10070271.573721319</v>
      </c>
      <c r="R580">
        <v>50000</v>
      </c>
    </row>
    <row r="581" spans="1:18" x14ac:dyDescent="0.25">
      <c r="A581" t="s">
        <v>608</v>
      </c>
      <c r="B581" t="s">
        <v>620</v>
      </c>
      <c r="C581" t="s">
        <v>631</v>
      </c>
      <c r="D581" s="1">
        <v>4086742</v>
      </c>
      <c r="E581" s="1">
        <f>_xlfn.XLOOKUP($C581,'Plaza SP Tar'!$C:$C,'Plaza SP Tar'!E:E)</f>
        <v>4460809.6930217715</v>
      </c>
      <c r="F581" s="1">
        <v>10000</v>
      </c>
      <c r="G581" s="1">
        <f>_xlfn.XLOOKUP($C581,'Plaza SP Tar'!$C:$C,'Plaza SP Tar'!F:F)</f>
        <v>5098068.2205963098</v>
      </c>
      <c r="H581" s="1">
        <v>18000</v>
      </c>
      <c r="I581" s="1">
        <f>_xlfn.XLOOKUP($C581,'Plaza SP Tar'!$C:$C,'Plaza SP Tar'!G:G)</f>
        <v>5607875.0426559402</v>
      </c>
      <c r="J581" s="1">
        <v>25000</v>
      </c>
      <c r="K581" s="1">
        <f>_xlfn.XLOOKUP($C581,'Plaza SP Tar'!$C:$C,'Plaza SP Tar'!H:H)</f>
        <v>6117681.8647155715</v>
      </c>
      <c r="L581" s="1">
        <v>30000</v>
      </c>
      <c r="M581" s="1">
        <f>_xlfn.XLOOKUP($C581,'Plaza SP Tar'!$C:$C,'Plaza SP Tar'!I:I)</f>
        <v>6627488.6867752029</v>
      </c>
      <c r="N581" s="1">
        <v>40000</v>
      </c>
      <c r="O581" s="1">
        <f>_xlfn.XLOOKUP($C581,'Plaza SP Tar'!$C:$C,'Plaza SP Tar'!J:J)</f>
        <v>7137295.5088348323</v>
      </c>
      <c r="P581" s="1">
        <v>45000</v>
      </c>
      <c r="Q581" s="1">
        <f>_xlfn.XLOOKUP($C581,'Plaza SP Tar'!$C:$C,'Plaza SP Tar'!K:K)</f>
        <v>7647102.3308944637</v>
      </c>
      <c r="R581">
        <v>50000</v>
      </c>
    </row>
    <row r="582" spans="1:18" x14ac:dyDescent="0.25">
      <c r="A582" t="s">
        <v>608</v>
      </c>
      <c r="B582" t="s">
        <v>632</v>
      </c>
      <c r="C582" t="s">
        <v>633</v>
      </c>
      <c r="D582" s="1">
        <v>2359384</v>
      </c>
      <c r="E582" s="1">
        <f>_xlfn.XLOOKUP($C582,'Plaza SP Tar'!$C:$C,'Plaza SP Tar'!E:E)</f>
        <v>2575343.1503041978</v>
      </c>
      <c r="F582" s="1">
        <v>10000</v>
      </c>
      <c r="G582" s="1">
        <f>_xlfn.XLOOKUP($C582,'Plaza SP Tar'!$C:$C,'Plaza SP Tar'!F:F)</f>
        <v>2943249.314633369</v>
      </c>
      <c r="H582" s="1">
        <v>18000</v>
      </c>
      <c r="I582" s="1">
        <f>_xlfn.XLOOKUP($C582,'Plaza SP Tar'!$C:$C,'Plaza SP Tar'!G:G)</f>
        <v>3237574.2460967056</v>
      </c>
      <c r="J582" s="1">
        <v>25000</v>
      </c>
      <c r="K582" s="1">
        <f>_xlfn.XLOOKUP($C582,'Plaza SP Tar'!$C:$C,'Plaza SP Tar'!H:H)</f>
        <v>3531899.1775600426</v>
      </c>
      <c r="L582" s="1">
        <v>30000</v>
      </c>
      <c r="M582" s="1">
        <f>_xlfn.XLOOKUP($C582,'Plaza SP Tar'!$C:$C,'Plaza SP Tar'!I:I)</f>
        <v>3826224.1090233796</v>
      </c>
      <c r="N582" s="1">
        <v>40000</v>
      </c>
      <c r="O582" s="1">
        <f>_xlfn.XLOOKUP($C582,'Plaza SP Tar'!$C:$C,'Plaza SP Tar'!J:J)</f>
        <v>4120549.0404867162</v>
      </c>
      <c r="P582" s="1">
        <v>45000</v>
      </c>
      <c r="Q582" s="1">
        <f>_xlfn.XLOOKUP($C582,'Plaza SP Tar'!$C:$C,'Plaza SP Tar'!K:K)</f>
        <v>4414873.9719500532</v>
      </c>
      <c r="R582">
        <v>50000</v>
      </c>
    </row>
    <row r="583" spans="1:18" x14ac:dyDescent="0.25">
      <c r="A583" t="s">
        <v>608</v>
      </c>
      <c r="B583" t="s">
        <v>632</v>
      </c>
      <c r="C583" t="s">
        <v>634</v>
      </c>
      <c r="D583" s="1">
        <v>2343651</v>
      </c>
      <c r="E583" s="1">
        <f>_xlfn.XLOOKUP($C583,'Plaza SP Tar'!$C:$C,'Plaza SP Tar'!E:E)</f>
        <v>2558170.077254734</v>
      </c>
      <c r="F583" s="1">
        <v>10000</v>
      </c>
      <c r="G583" s="1">
        <f>_xlfn.XLOOKUP($C583,'Plaza SP Tar'!$C:$C,'Plaza SP Tar'!F:F)</f>
        <v>2923622.9454339817</v>
      </c>
      <c r="H583" s="1">
        <v>18000</v>
      </c>
      <c r="I583" s="1">
        <f>_xlfn.XLOOKUP($C583,'Plaza SP Tar'!$C:$C,'Plaza SP Tar'!G:G)</f>
        <v>3215985.2399773798</v>
      </c>
      <c r="J583" s="1">
        <v>25000</v>
      </c>
      <c r="K583" s="1">
        <f>_xlfn.XLOOKUP($C583,'Plaza SP Tar'!$C:$C,'Plaza SP Tar'!H:H)</f>
        <v>3508347.5345207779</v>
      </c>
      <c r="L583" s="1">
        <v>30000</v>
      </c>
      <c r="M583" s="1">
        <f>_xlfn.XLOOKUP($C583,'Plaza SP Tar'!$C:$C,'Plaza SP Tar'!I:I)</f>
        <v>3800709.8290641764</v>
      </c>
      <c r="N583" s="1">
        <v>40000</v>
      </c>
      <c r="O583" s="1">
        <f>_xlfn.XLOOKUP($C583,'Plaza SP Tar'!$C:$C,'Plaza SP Tar'!J:J)</f>
        <v>4093072.123607574</v>
      </c>
      <c r="P583" s="1">
        <v>45000</v>
      </c>
      <c r="Q583" s="1">
        <f>_xlfn.XLOOKUP($C583,'Plaza SP Tar'!$C:$C,'Plaza SP Tar'!K:K)</f>
        <v>4385434.4181509726</v>
      </c>
      <c r="R583">
        <v>50000</v>
      </c>
    </row>
    <row r="584" spans="1:18" x14ac:dyDescent="0.25">
      <c r="A584" t="s">
        <v>608</v>
      </c>
      <c r="B584" t="s">
        <v>632</v>
      </c>
      <c r="C584" t="s">
        <v>635</v>
      </c>
      <c r="D584" s="1">
        <v>3427086</v>
      </c>
      <c r="E584" s="1">
        <f>_xlfn.XLOOKUP($C584,'Plaza SP Tar'!$C:$C,'Plaza SP Tar'!E:E)</f>
        <v>3740774.056111007</v>
      </c>
      <c r="F584" s="1">
        <v>10000</v>
      </c>
      <c r="G584" s="1">
        <f>_xlfn.XLOOKUP($C584,'Plaza SP Tar'!$C:$C,'Plaza SP Tar'!F:F)</f>
        <v>4275170.3498411505</v>
      </c>
      <c r="H584" s="1">
        <v>18000</v>
      </c>
      <c r="I584" s="1">
        <f>_xlfn.XLOOKUP($C584,'Plaza SP Tar'!$C:$C,'Plaza SP Tar'!G:G)</f>
        <v>4702687.384825265</v>
      </c>
      <c r="J584" s="1">
        <v>25000</v>
      </c>
      <c r="K584" s="1">
        <f>_xlfn.XLOOKUP($C584,'Plaza SP Tar'!$C:$C,'Plaza SP Tar'!H:H)</f>
        <v>5130204.4198093805</v>
      </c>
      <c r="L584" s="1">
        <v>30000</v>
      </c>
      <c r="M584" s="1">
        <f>_xlfn.XLOOKUP($C584,'Plaza SP Tar'!$C:$C,'Plaza SP Tar'!I:I)</f>
        <v>5557721.4547934961</v>
      </c>
      <c r="N584" s="1">
        <v>40000</v>
      </c>
      <c r="O584" s="1">
        <f>_xlfn.XLOOKUP($C584,'Plaza SP Tar'!$C:$C,'Plaza SP Tar'!J:J)</f>
        <v>5985238.4897776106</v>
      </c>
      <c r="P584" s="1">
        <v>45000</v>
      </c>
      <c r="Q584" s="1">
        <f>_xlfn.XLOOKUP($C584,'Plaza SP Tar'!$C:$C,'Plaza SP Tar'!K:K)</f>
        <v>6412755.5247617261</v>
      </c>
      <c r="R584">
        <v>50000</v>
      </c>
    </row>
    <row r="585" spans="1:18" x14ac:dyDescent="0.25">
      <c r="A585" t="s">
        <v>608</v>
      </c>
      <c r="B585" t="s">
        <v>632</v>
      </c>
      <c r="C585" t="s">
        <v>636</v>
      </c>
      <c r="D585" s="1">
        <v>3114918</v>
      </c>
      <c r="E585" s="1">
        <f>_xlfn.XLOOKUP($C585,'Plaza SP Tar'!$C:$C,'Plaza SP Tar'!E:E)</f>
        <v>3400032.6928805364</v>
      </c>
      <c r="F585" s="1">
        <v>10000</v>
      </c>
      <c r="G585" s="1">
        <f>_xlfn.XLOOKUP($C585,'Plaza SP Tar'!$C:$C,'Plaza SP Tar'!F:F)</f>
        <v>3885751.6490063271</v>
      </c>
      <c r="H585" s="1">
        <v>18000</v>
      </c>
      <c r="I585" s="1">
        <f>_xlfn.XLOOKUP($C585,'Plaza SP Tar'!$C:$C,'Plaza SP Tar'!G:G)</f>
        <v>4274326.8139069593</v>
      </c>
      <c r="J585" s="1">
        <v>25000</v>
      </c>
      <c r="K585" s="1">
        <f>_xlfn.XLOOKUP($C585,'Plaza SP Tar'!$C:$C,'Plaza SP Tar'!H:H)</f>
        <v>4662901.9788075928</v>
      </c>
      <c r="L585" s="1">
        <v>30000</v>
      </c>
      <c r="M585" s="1">
        <f>_xlfn.XLOOKUP($C585,'Plaza SP Tar'!$C:$C,'Plaza SP Tar'!I:I)</f>
        <v>5051477.1437082253</v>
      </c>
      <c r="N585" s="1">
        <v>40000</v>
      </c>
      <c r="O585" s="1">
        <f>_xlfn.XLOOKUP($C585,'Plaza SP Tar'!$C:$C,'Plaza SP Tar'!J:J)</f>
        <v>5440052.3086088579</v>
      </c>
      <c r="P585" s="1">
        <v>45000</v>
      </c>
      <c r="Q585" s="1">
        <f>_xlfn.XLOOKUP($C585,'Plaza SP Tar'!$C:$C,'Plaza SP Tar'!K:K)</f>
        <v>5828627.4735094905</v>
      </c>
      <c r="R585">
        <v>50000</v>
      </c>
    </row>
    <row r="586" spans="1:18" x14ac:dyDescent="0.25">
      <c r="A586" t="s">
        <v>608</v>
      </c>
      <c r="B586" t="s">
        <v>632</v>
      </c>
      <c r="C586" t="s">
        <v>637</v>
      </c>
      <c r="D586" s="1">
        <v>5540377</v>
      </c>
      <c r="E586" s="1">
        <f>_xlfn.XLOOKUP($C586,'Plaza SP Tar'!$C:$C,'Plaza SP Tar'!E:E)</f>
        <v>6047498.8204772603</v>
      </c>
      <c r="F586" s="1">
        <v>10000</v>
      </c>
      <c r="G586" s="1">
        <f>_xlfn.XLOOKUP($C586,'Plaza SP Tar'!$C:$C,'Plaza SP Tar'!F:F)</f>
        <v>6911427.223402583</v>
      </c>
      <c r="H586" s="1">
        <v>18000</v>
      </c>
      <c r="I586" s="1">
        <f>_xlfn.XLOOKUP($C586,'Plaza SP Tar'!$C:$C,'Plaza SP Tar'!G:G)</f>
        <v>7602569.9457428409</v>
      </c>
      <c r="J586" s="1">
        <v>25000</v>
      </c>
      <c r="K586" s="1">
        <f>_xlfn.XLOOKUP($C586,'Plaza SP Tar'!$C:$C,'Plaza SP Tar'!H:H)</f>
        <v>8293712.6680830996</v>
      </c>
      <c r="L586" s="1">
        <v>30000</v>
      </c>
      <c r="M586" s="1">
        <f>_xlfn.XLOOKUP($C586,'Plaza SP Tar'!$C:$C,'Plaza SP Tar'!I:I)</f>
        <v>8984855.3904233575</v>
      </c>
      <c r="N586" s="1">
        <v>40000</v>
      </c>
      <c r="O586" s="1">
        <f>_xlfn.XLOOKUP($C586,'Plaza SP Tar'!$C:$C,'Plaza SP Tar'!J:J)</f>
        <v>9675998.1127636153</v>
      </c>
      <c r="P586" s="1">
        <v>45000</v>
      </c>
      <c r="Q586" s="1">
        <f>_xlfn.XLOOKUP($C586,'Plaza SP Tar'!$C:$C,'Plaza SP Tar'!K:K)</f>
        <v>10367140.835103875</v>
      </c>
      <c r="R586">
        <v>50000</v>
      </c>
    </row>
    <row r="587" spans="1:18" x14ac:dyDescent="0.25">
      <c r="A587" t="s">
        <v>608</v>
      </c>
      <c r="B587" t="s">
        <v>632</v>
      </c>
      <c r="C587" t="s">
        <v>638</v>
      </c>
      <c r="D587" s="1">
        <v>8262901</v>
      </c>
      <c r="E587" s="1">
        <f>_xlfn.XLOOKUP($C587,'Plaza SP Tar'!$C:$C,'Plaza SP Tar'!E:E)</f>
        <v>9019220.9034187347</v>
      </c>
      <c r="F587" s="1">
        <v>10000</v>
      </c>
      <c r="G587" s="1">
        <f>_xlfn.XLOOKUP($C587,'Plaza SP Tar'!$C:$C,'Plaza SP Tar'!F:F)</f>
        <v>10307681.032478552</v>
      </c>
      <c r="H587" s="1">
        <v>18000</v>
      </c>
      <c r="I587" s="1">
        <f>_xlfn.XLOOKUP($C587,'Plaza SP Tar'!$C:$C,'Plaza SP Tar'!G:G)</f>
        <v>11338449.135726407</v>
      </c>
      <c r="J587" s="1">
        <v>25000</v>
      </c>
      <c r="K587" s="1">
        <f>_xlfn.XLOOKUP($C587,'Plaza SP Tar'!$C:$C,'Plaza SP Tar'!H:H)</f>
        <v>12369217.238974264</v>
      </c>
      <c r="L587" s="1">
        <v>30000</v>
      </c>
      <c r="M587" s="1">
        <f>_xlfn.XLOOKUP($C587,'Plaza SP Tar'!$C:$C,'Plaza SP Tar'!I:I)</f>
        <v>13399985.342222119</v>
      </c>
      <c r="N587" s="1">
        <v>40000</v>
      </c>
      <c r="O587" s="1">
        <f>_xlfn.XLOOKUP($C587,'Plaza SP Tar'!$C:$C,'Plaza SP Tar'!J:J)</f>
        <v>14430753.445469974</v>
      </c>
      <c r="P587" s="1">
        <v>45000</v>
      </c>
      <c r="Q587" s="1">
        <f>_xlfn.XLOOKUP($C587,'Plaza SP Tar'!$C:$C,'Plaza SP Tar'!K:K)</f>
        <v>15461521.548717828</v>
      </c>
      <c r="R587">
        <v>50000</v>
      </c>
    </row>
    <row r="588" spans="1:18" x14ac:dyDescent="0.25">
      <c r="A588" t="s">
        <v>608</v>
      </c>
      <c r="B588" t="s">
        <v>632</v>
      </c>
      <c r="C588" t="s">
        <v>639</v>
      </c>
      <c r="D588" s="1">
        <v>4683814</v>
      </c>
      <c r="E588" s="1">
        <f>_xlfn.XLOOKUP($C588,'Plaza SP Tar'!$C:$C,'Plaza SP Tar'!E:E)</f>
        <v>5112532.8908727476</v>
      </c>
      <c r="F588" s="1">
        <v>10000</v>
      </c>
      <c r="G588" s="1">
        <f>_xlfn.XLOOKUP($C588,'Plaza SP Tar'!$C:$C,'Plaza SP Tar'!F:F)</f>
        <v>5842894.732425997</v>
      </c>
      <c r="H588" s="1">
        <v>18000</v>
      </c>
      <c r="I588" s="1">
        <f>_xlfn.XLOOKUP($C588,'Plaza SP Tar'!$C:$C,'Plaza SP Tar'!G:G)</f>
        <v>6427184.2056685956</v>
      </c>
      <c r="J588" s="1">
        <v>25000</v>
      </c>
      <c r="K588" s="1">
        <f>_xlfn.XLOOKUP($C588,'Plaza SP Tar'!$C:$C,'Plaza SP Tar'!H:H)</f>
        <v>7011473.6789111961</v>
      </c>
      <c r="L588" s="1">
        <v>30000</v>
      </c>
      <c r="M588" s="1">
        <f>_xlfn.XLOOKUP($C588,'Plaza SP Tar'!$C:$C,'Plaza SP Tar'!I:I)</f>
        <v>7595763.1521537956</v>
      </c>
      <c r="N588" s="1">
        <v>40000</v>
      </c>
      <c r="O588" s="1">
        <f>_xlfn.XLOOKUP($C588,'Plaza SP Tar'!$C:$C,'Plaza SP Tar'!J:J)</f>
        <v>8180052.6253963951</v>
      </c>
      <c r="P588" s="1">
        <v>45000</v>
      </c>
      <c r="Q588" s="1">
        <f>_xlfn.XLOOKUP($C588,'Plaza SP Tar'!$C:$C,'Plaza SP Tar'!K:K)</f>
        <v>8764342.0986389946</v>
      </c>
      <c r="R588">
        <v>50000</v>
      </c>
    </row>
    <row r="589" spans="1:18" x14ac:dyDescent="0.25">
      <c r="A589" t="s">
        <v>608</v>
      </c>
      <c r="B589" t="s">
        <v>632</v>
      </c>
      <c r="C589" t="s">
        <v>640</v>
      </c>
      <c r="D589" s="1">
        <v>6565903</v>
      </c>
      <c r="E589" s="1">
        <f>_xlfn.XLOOKUP($C589,'Plaza SP Tar'!$C:$C,'Plaza SP Tar'!E:E)</f>
        <v>7166893.2724015182</v>
      </c>
      <c r="F589" s="1">
        <v>10000</v>
      </c>
      <c r="G589" s="1">
        <f>_xlfn.XLOOKUP($C589,'Plaza SP Tar'!$C:$C,'Plaza SP Tar'!F:F)</f>
        <v>8190735.1684588781</v>
      </c>
      <c r="H589" s="1">
        <v>18000</v>
      </c>
      <c r="I589" s="1">
        <f>_xlfn.XLOOKUP($C589,'Plaza SP Tar'!$C:$C,'Plaza SP Tar'!G:G)</f>
        <v>9009808.6853047647</v>
      </c>
      <c r="J589" s="1">
        <v>25000</v>
      </c>
      <c r="K589" s="1">
        <f>_xlfn.XLOOKUP($C589,'Plaza SP Tar'!$C:$C,'Plaza SP Tar'!H:H)</f>
        <v>9828882.2021506522</v>
      </c>
      <c r="L589" s="1">
        <v>30000</v>
      </c>
      <c r="M589" s="1">
        <f>_xlfn.XLOOKUP($C589,'Plaza SP Tar'!$C:$C,'Plaza SP Tar'!I:I)</f>
        <v>10647955.718996542</v>
      </c>
      <c r="N589" s="1">
        <v>40000</v>
      </c>
      <c r="O589" s="1">
        <f>_xlfn.XLOOKUP($C589,'Plaza SP Tar'!$C:$C,'Plaza SP Tar'!J:J)</f>
        <v>11467029.235842427</v>
      </c>
      <c r="P589" s="1">
        <v>45000</v>
      </c>
      <c r="Q589" s="1">
        <f>_xlfn.XLOOKUP($C589,'Plaza SP Tar'!$C:$C,'Plaza SP Tar'!K:K)</f>
        <v>12286102.752688317</v>
      </c>
      <c r="R589">
        <v>50000</v>
      </c>
    </row>
    <row r="590" spans="1:18" x14ac:dyDescent="0.25">
      <c r="A590" t="s">
        <v>608</v>
      </c>
      <c r="B590" t="s">
        <v>632</v>
      </c>
      <c r="C590" t="s">
        <v>641</v>
      </c>
      <c r="D590" s="1">
        <v>4398627</v>
      </c>
      <c r="E590" s="1">
        <f>_xlfn.XLOOKUP($C590,'Plaza SP Tar'!$C:$C,'Plaza SP Tar'!E:E)</f>
        <v>4801242.1526945606</v>
      </c>
      <c r="F590" s="1">
        <v>10000</v>
      </c>
      <c r="G590" s="1">
        <f>_xlfn.XLOOKUP($C590,'Plaza SP Tar'!$C:$C,'Plaza SP Tar'!F:F)</f>
        <v>5487133.8887937833</v>
      </c>
      <c r="H590" s="1">
        <v>18000</v>
      </c>
      <c r="I590" s="1">
        <f>_xlfn.XLOOKUP($C590,'Plaza SP Tar'!$C:$C,'Plaza SP Tar'!G:G)</f>
        <v>6035847.2776731607</v>
      </c>
      <c r="J590" s="1">
        <v>25000</v>
      </c>
      <c r="K590" s="1">
        <f>_xlfn.XLOOKUP($C590,'Plaza SP Tar'!$C:$C,'Plaza SP Tar'!H:H)</f>
        <v>6584560.6665525399</v>
      </c>
      <c r="L590" s="1">
        <v>30000</v>
      </c>
      <c r="M590" s="1">
        <f>_xlfn.XLOOKUP($C590,'Plaza SP Tar'!$C:$C,'Plaza SP Tar'!I:I)</f>
        <v>7133274.0554319182</v>
      </c>
      <c r="N590" s="1">
        <v>40000</v>
      </c>
      <c r="O590" s="1">
        <f>_xlfn.XLOOKUP($C590,'Plaza SP Tar'!$C:$C,'Plaza SP Tar'!J:J)</f>
        <v>7681987.4443112956</v>
      </c>
      <c r="P590" s="1">
        <v>45000</v>
      </c>
      <c r="Q590" s="1">
        <f>_xlfn.XLOOKUP($C590,'Plaza SP Tar'!$C:$C,'Plaza SP Tar'!K:K)</f>
        <v>8230700.8331906749</v>
      </c>
      <c r="R590">
        <v>50000</v>
      </c>
    </row>
    <row r="591" spans="1:18" x14ac:dyDescent="0.25">
      <c r="A591" t="s">
        <v>608</v>
      </c>
      <c r="B591" t="s">
        <v>632</v>
      </c>
      <c r="C591" t="s">
        <v>642</v>
      </c>
      <c r="D591" s="1">
        <v>6702743</v>
      </c>
      <c r="E591" s="1">
        <f>_xlfn.XLOOKUP($C591,'Plaza SP Tar'!$C:$C,'Plaza SP Tar'!E:E)</f>
        <v>7316258.5120944325</v>
      </c>
      <c r="F591" s="1">
        <v>10000</v>
      </c>
      <c r="G591" s="1">
        <f>_xlfn.XLOOKUP($C591,'Plaza SP Tar'!$C:$C,'Plaza SP Tar'!F:F)</f>
        <v>8361438.2995364936</v>
      </c>
      <c r="H591" s="1">
        <v>18000</v>
      </c>
      <c r="I591" s="1">
        <f>_xlfn.XLOOKUP($C591,'Plaza SP Tar'!$C:$C,'Plaza SP Tar'!G:G)</f>
        <v>9197582.1294901427</v>
      </c>
      <c r="J591" s="1">
        <v>25000</v>
      </c>
      <c r="K591" s="1">
        <f>_xlfn.XLOOKUP($C591,'Plaza SP Tar'!$C:$C,'Plaza SP Tar'!H:H)</f>
        <v>10033725.959443793</v>
      </c>
      <c r="L591" s="1">
        <v>30000</v>
      </c>
      <c r="M591" s="1">
        <f>_xlfn.XLOOKUP($C591,'Plaza SP Tar'!$C:$C,'Plaza SP Tar'!I:I)</f>
        <v>10869869.789397443</v>
      </c>
      <c r="N591" s="1">
        <v>40000</v>
      </c>
      <c r="O591" s="1">
        <f>_xlfn.XLOOKUP($C591,'Plaza SP Tar'!$C:$C,'Plaza SP Tar'!J:J)</f>
        <v>11706013.619351091</v>
      </c>
      <c r="P591" s="1">
        <v>45000</v>
      </c>
      <c r="Q591" s="1">
        <f>_xlfn.XLOOKUP($C591,'Plaza SP Tar'!$C:$C,'Plaza SP Tar'!K:K)</f>
        <v>12542157.449304741</v>
      </c>
      <c r="R591">
        <v>50000</v>
      </c>
    </row>
    <row r="592" spans="1:18" x14ac:dyDescent="0.25">
      <c r="A592" t="s">
        <v>608</v>
      </c>
      <c r="B592" t="s">
        <v>632</v>
      </c>
      <c r="C592" t="s">
        <v>643</v>
      </c>
      <c r="D592" s="1">
        <v>5521101</v>
      </c>
      <c r="E592" s="1">
        <f>_xlfn.XLOOKUP($C592,'Plaza SP Tar'!$C:$C,'Plaza SP Tar'!E:E)</f>
        <v>6026458.4495307496</v>
      </c>
      <c r="F592" s="1">
        <v>10000</v>
      </c>
      <c r="G592" s="1">
        <f>_xlfn.XLOOKUP($C592,'Plaza SP Tar'!$C:$C,'Plaza SP Tar'!F:F)</f>
        <v>6887381.085177999</v>
      </c>
      <c r="H592" s="1">
        <v>18000</v>
      </c>
      <c r="I592" s="1">
        <f>_xlfn.XLOOKUP($C592,'Plaza SP Tar'!$C:$C,'Plaza SP Tar'!G:G)</f>
        <v>7576119.1936957976</v>
      </c>
      <c r="J592" s="1">
        <v>25000</v>
      </c>
      <c r="K592" s="1">
        <f>_xlfn.XLOOKUP($C592,'Plaza SP Tar'!$C:$C,'Plaza SP Tar'!H:H)</f>
        <v>8264857.302213598</v>
      </c>
      <c r="L592" s="1">
        <v>30000</v>
      </c>
      <c r="M592" s="1">
        <f>_xlfn.XLOOKUP($C592,'Plaza SP Tar'!$C:$C,'Plaza SP Tar'!I:I)</f>
        <v>8953595.4107313976</v>
      </c>
      <c r="N592" s="1">
        <v>40000</v>
      </c>
      <c r="O592" s="1">
        <f>_xlfn.XLOOKUP($C592,'Plaza SP Tar'!$C:$C,'Plaza SP Tar'!J:J)</f>
        <v>9642333.5192491971</v>
      </c>
      <c r="P592" s="1">
        <v>45000</v>
      </c>
      <c r="Q592" s="1">
        <f>_xlfn.XLOOKUP($C592,'Plaza SP Tar'!$C:$C,'Plaza SP Tar'!K:K)</f>
        <v>10331071.627766998</v>
      </c>
      <c r="R592">
        <v>50000</v>
      </c>
    </row>
    <row r="593" spans="1:18" x14ac:dyDescent="0.25">
      <c r="A593" t="s">
        <v>608</v>
      </c>
      <c r="B593" t="s">
        <v>632</v>
      </c>
      <c r="C593" t="s">
        <v>644</v>
      </c>
      <c r="D593" s="1">
        <v>6435868</v>
      </c>
      <c r="E593" s="1">
        <f>_xlfn.XLOOKUP($C593,'Plaza SP Tar'!$C:$C,'Plaza SP Tar'!E:E)</f>
        <v>7024955.9080090299</v>
      </c>
      <c r="F593" s="1">
        <v>10000</v>
      </c>
      <c r="G593" s="1">
        <f>_xlfn.XLOOKUP($C593,'Plaza SP Tar'!$C:$C,'Plaza SP Tar'!F:F)</f>
        <v>8028521.0377246058</v>
      </c>
      <c r="H593" s="1">
        <v>18000</v>
      </c>
      <c r="I593" s="1">
        <f>_xlfn.XLOOKUP($C593,'Plaza SP Tar'!$C:$C,'Plaza SP Tar'!G:G)</f>
        <v>8831373.1414970644</v>
      </c>
      <c r="J593" s="1">
        <v>25000</v>
      </c>
      <c r="K593" s="1">
        <f>_xlfn.XLOOKUP($C593,'Plaza SP Tar'!$C:$C,'Plaza SP Tar'!H:H)</f>
        <v>9634225.2452695258</v>
      </c>
      <c r="L593" s="1">
        <v>30000</v>
      </c>
      <c r="M593" s="1">
        <f>_xlfn.XLOOKUP($C593,'Plaza SP Tar'!$C:$C,'Plaza SP Tar'!I:I)</f>
        <v>10437077.349041987</v>
      </c>
      <c r="N593" s="1">
        <v>40000</v>
      </c>
      <c r="O593" s="1">
        <f>_xlfn.XLOOKUP($C593,'Plaza SP Tar'!$C:$C,'Plaza SP Tar'!J:J)</f>
        <v>11239929.452814447</v>
      </c>
      <c r="P593" s="1">
        <v>45000</v>
      </c>
      <c r="Q593" s="1">
        <f>_xlfn.XLOOKUP($C593,'Plaza SP Tar'!$C:$C,'Plaza SP Tar'!K:K)</f>
        <v>12042781.556586908</v>
      </c>
      <c r="R593">
        <v>50000</v>
      </c>
    </row>
    <row r="594" spans="1:18" x14ac:dyDescent="0.25">
      <c r="A594" t="s">
        <v>608</v>
      </c>
      <c r="B594" t="s">
        <v>645</v>
      </c>
      <c r="C594" t="s">
        <v>646</v>
      </c>
      <c r="D594" s="1">
        <v>5574404</v>
      </c>
      <c r="E594" s="1">
        <f>_xlfn.XLOOKUP($C594,'Plaza SP Tar'!$C:$C,'Plaza SP Tar'!E:E)</f>
        <v>6084640.3800434023</v>
      </c>
      <c r="F594" s="1">
        <v>10000</v>
      </c>
      <c r="G594" s="1">
        <f>_xlfn.XLOOKUP($C594,'Plaza SP Tar'!$C:$C,'Plaza SP Tar'!F:F)</f>
        <v>6953874.720049602</v>
      </c>
      <c r="H594" s="1">
        <v>18000</v>
      </c>
      <c r="I594" s="1">
        <f>_xlfn.XLOOKUP($C594,'Plaza SP Tar'!$C:$C,'Plaza SP Tar'!G:G)</f>
        <v>7649262.1920545613</v>
      </c>
      <c r="J594" s="1">
        <v>25000</v>
      </c>
      <c r="K594" s="1">
        <f>_xlfn.XLOOKUP($C594,'Plaza SP Tar'!$C:$C,'Plaza SP Tar'!H:H)</f>
        <v>8344649.6640595216</v>
      </c>
      <c r="L594" s="1">
        <v>30000</v>
      </c>
      <c r="M594" s="1">
        <f>_xlfn.XLOOKUP($C594,'Plaza SP Tar'!$C:$C,'Plaza SP Tar'!I:I)</f>
        <v>9040037.1360644829</v>
      </c>
      <c r="N594" s="1">
        <v>40000</v>
      </c>
      <c r="O594" s="1">
        <f>_xlfn.XLOOKUP($C594,'Plaza SP Tar'!$C:$C,'Plaza SP Tar'!J:J)</f>
        <v>9735424.6080694422</v>
      </c>
      <c r="P594" s="1">
        <v>45000</v>
      </c>
      <c r="Q594" s="1">
        <f>_xlfn.XLOOKUP($C594,'Plaza SP Tar'!$C:$C,'Plaza SP Tar'!K:K)</f>
        <v>10430812.080074402</v>
      </c>
      <c r="R594">
        <v>50000</v>
      </c>
    </row>
    <row r="595" spans="1:18" x14ac:dyDescent="0.25">
      <c r="A595" t="s">
        <v>608</v>
      </c>
      <c r="B595" t="s">
        <v>645</v>
      </c>
      <c r="C595" t="s">
        <v>647</v>
      </c>
      <c r="D595" s="1">
        <v>3314092</v>
      </c>
      <c r="E595" s="1">
        <f>_xlfn.XLOOKUP($C595,'Plaza SP Tar'!$C:$C,'Plaza SP Tar'!E:E)</f>
        <v>3617437.4886317528</v>
      </c>
      <c r="F595" s="1">
        <v>10000</v>
      </c>
      <c r="G595" s="1">
        <f>_xlfn.XLOOKUP($C595,'Plaza SP Tar'!$C:$C,'Plaza SP Tar'!F:F)</f>
        <v>4134214.2727220031</v>
      </c>
      <c r="H595" s="1">
        <v>18000</v>
      </c>
      <c r="I595" s="1">
        <f>_xlfn.XLOOKUP($C595,'Plaza SP Tar'!$C:$C,'Plaza SP Tar'!G:G)</f>
        <v>4547635.6999942027</v>
      </c>
      <c r="J595" s="1">
        <v>25000</v>
      </c>
      <c r="K595" s="1">
        <f>_xlfn.XLOOKUP($C595,'Plaza SP Tar'!$C:$C,'Plaza SP Tar'!H:H)</f>
        <v>4961057.1272664033</v>
      </c>
      <c r="L595" s="1">
        <v>30000</v>
      </c>
      <c r="M595" s="1">
        <f>_xlfn.XLOOKUP($C595,'Plaza SP Tar'!$C:$C,'Plaza SP Tar'!I:I)</f>
        <v>5374478.5545386039</v>
      </c>
      <c r="N595" s="1">
        <v>40000</v>
      </c>
      <c r="O595" s="1">
        <f>_xlfn.XLOOKUP($C595,'Plaza SP Tar'!$C:$C,'Plaza SP Tar'!J:J)</f>
        <v>5787899.9818108035</v>
      </c>
      <c r="P595" s="1">
        <v>45000</v>
      </c>
      <c r="Q595" s="1">
        <f>_xlfn.XLOOKUP($C595,'Plaza SP Tar'!$C:$C,'Plaza SP Tar'!K:K)</f>
        <v>6201321.4090830041</v>
      </c>
      <c r="R595">
        <v>50000</v>
      </c>
    </row>
    <row r="596" spans="1:18" x14ac:dyDescent="0.25">
      <c r="A596" t="s">
        <v>608</v>
      </c>
      <c r="B596" t="s">
        <v>645</v>
      </c>
      <c r="C596" t="s">
        <v>648</v>
      </c>
      <c r="D596" s="1">
        <v>3638729</v>
      </c>
      <c r="E596" s="1">
        <f>_xlfn.XLOOKUP($C596,'Plaza SP Tar'!$C:$C,'Plaza SP Tar'!E:E)</f>
        <v>3971789.1644442971</v>
      </c>
      <c r="F596" s="1">
        <v>10000</v>
      </c>
      <c r="G596" s="1">
        <f>_xlfn.XLOOKUP($C596,'Plaza SP Tar'!$C:$C,'Plaza SP Tar'!F:F)</f>
        <v>4539187.6165077677</v>
      </c>
      <c r="H596" s="1">
        <v>18000</v>
      </c>
      <c r="I596" s="1">
        <f>_xlfn.XLOOKUP($C596,'Plaza SP Tar'!$C:$C,'Plaza SP Tar'!G:G)</f>
        <v>4993106.3781585442</v>
      </c>
      <c r="J596" s="1">
        <v>25000</v>
      </c>
      <c r="K596" s="1">
        <f>_xlfn.XLOOKUP($C596,'Plaza SP Tar'!$C:$C,'Plaza SP Tar'!H:H)</f>
        <v>5447025.1398093216</v>
      </c>
      <c r="L596" s="1">
        <v>30000</v>
      </c>
      <c r="M596" s="1">
        <f>_xlfn.XLOOKUP($C596,'Plaza SP Tar'!$C:$C,'Plaza SP Tar'!I:I)</f>
        <v>5900943.9014600981</v>
      </c>
      <c r="N596" s="1">
        <v>40000</v>
      </c>
      <c r="O596" s="1">
        <f>_xlfn.XLOOKUP($C596,'Plaza SP Tar'!$C:$C,'Plaza SP Tar'!J:J)</f>
        <v>6354862.6631108746</v>
      </c>
      <c r="P596" s="1">
        <v>45000</v>
      </c>
      <c r="Q596" s="1">
        <f>_xlfn.XLOOKUP($C596,'Plaza SP Tar'!$C:$C,'Plaza SP Tar'!K:K)</f>
        <v>6808781.424761652</v>
      </c>
      <c r="R596">
        <v>50000</v>
      </c>
    </row>
    <row r="597" spans="1:18" x14ac:dyDescent="0.25">
      <c r="A597" t="s">
        <v>608</v>
      </c>
      <c r="B597" t="s">
        <v>645</v>
      </c>
      <c r="C597" t="s">
        <v>649</v>
      </c>
      <c r="D597" s="1">
        <v>6668119</v>
      </c>
      <c r="E597" s="1">
        <f>_xlfn.XLOOKUP($C597,'Plaza SP Tar'!$C:$C,'Plaza SP Tar'!E:E)</f>
        <v>7278465.3079207446</v>
      </c>
      <c r="F597" s="1">
        <v>10000</v>
      </c>
      <c r="G597" s="1">
        <f>_xlfn.XLOOKUP($C597,'Plaza SP Tar'!$C:$C,'Plaza SP Tar'!F:F)</f>
        <v>8318246.0661951359</v>
      </c>
      <c r="H597" s="1">
        <v>18000</v>
      </c>
      <c r="I597" s="1">
        <f>_xlfn.XLOOKUP($C597,'Plaza SP Tar'!$C:$C,'Plaza SP Tar'!G:G)</f>
        <v>9150070.6728146486</v>
      </c>
      <c r="J597" s="1">
        <v>25000</v>
      </c>
      <c r="K597" s="1">
        <f>_xlfn.XLOOKUP($C597,'Plaza SP Tar'!$C:$C,'Plaza SP Tar'!H:H)</f>
        <v>9981895.2794341631</v>
      </c>
      <c r="L597" s="1">
        <v>30000</v>
      </c>
      <c r="M597" s="1">
        <f>_xlfn.XLOOKUP($C597,'Plaza SP Tar'!$C:$C,'Plaza SP Tar'!I:I)</f>
        <v>10813719.886053678</v>
      </c>
      <c r="N597" s="1">
        <v>40000</v>
      </c>
      <c r="O597" s="1">
        <f>_xlfn.XLOOKUP($C597,'Plaza SP Tar'!$C:$C,'Plaza SP Tar'!J:J)</f>
        <v>11645544.49267319</v>
      </c>
      <c r="P597" s="1">
        <v>45000</v>
      </c>
      <c r="Q597" s="1">
        <f>_xlfn.XLOOKUP($C597,'Plaza SP Tar'!$C:$C,'Plaza SP Tar'!K:K)</f>
        <v>12477369.099292703</v>
      </c>
      <c r="R597">
        <v>50000</v>
      </c>
    </row>
    <row r="598" spans="1:18" x14ac:dyDescent="0.25">
      <c r="A598" t="s">
        <v>608</v>
      </c>
      <c r="B598" t="s">
        <v>645</v>
      </c>
      <c r="C598" t="s">
        <v>650</v>
      </c>
      <c r="D598" s="1">
        <v>2177030</v>
      </c>
      <c r="E598" s="1">
        <f>_xlfn.XLOOKUP($C598,'Plaza SP Tar'!$C:$C,'Plaza SP Tar'!E:E)</f>
        <v>2376297.9228929025</v>
      </c>
      <c r="F598" s="1">
        <v>10000</v>
      </c>
      <c r="G598" s="1">
        <f>_xlfn.XLOOKUP($C598,'Plaza SP Tar'!$C:$C,'Plaza SP Tar'!F:F)</f>
        <v>2715769.0547347455</v>
      </c>
      <c r="H598" s="1">
        <v>18000</v>
      </c>
      <c r="I598" s="1">
        <f>_xlfn.XLOOKUP($C598,'Plaza SP Tar'!$C:$C,'Plaza SP Tar'!G:G)</f>
        <v>2987345.9602082199</v>
      </c>
      <c r="J598" s="1">
        <v>25000</v>
      </c>
      <c r="K598" s="1">
        <f>_xlfn.XLOOKUP($C598,'Plaza SP Tar'!$C:$C,'Plaza SP Tar'!H:H)</f>
        <v>3258922.8656816948</v>
      </c>
      <c r="L598" s="1">
        <v>30000</v>
      </c>
      <c r="M598" s="1">
        <f>_xlfn.XLOOKUP($C598,'Plaza SP Tar'!$C:$C,'Plaza SP Tar'!I:I)</f>
        <v>3530499.7711551692</v>
      </c>
      <c r="N598" s="1">
        <v>40000</v>
      </c>
      <c r="O598" s="1">
        <f>_xlfn.XLOOKUP($C598,'Plaza SP Tar'!$C:$C,'Plaza SP Tar'!J:J)</f>
        <v>3802076.6766286436</v>
      </c>
      <c r="P598" s="1">
        <v>45000</v>
      </c>
      <c r="Q598" s="1">
        <f>_xlfn.XLOOKUP($C598,'Plaza SP Tar'!$C:$C,'Plaza SP Tar'!K:K)</f>
        <v>4073653.5821021181</v>
      </c>
      <c r="R598">
        <v>50000</v>
      </c>
    </row>
    <row r="599" spans="1:18" x14ac:dyDescent="0.25">
      <c r="A599" t="s">
        <v>608</v>
      </c>
      <c r="B599" t="s">
        <v>645</v>
      </c>
      <c r="C599" t="s">
        <v>651</v>
      </c>
      <c r="D599" s="1">
        <v>2721808</v>
      </c>
      <c r="E599" s="1">
        <f>_xlfn.XLOOKUP($C599,'Plaza SP Tar'!$C:$C,'Plaza SP Tar'!E:E)</f>
        <v>2970940.5460252203</v>
      </c>
      <c r="F599" s="1">
        <v>10000</v>
      </c>
      <c r="G599" s="1">
        <f>_xlfn.XLOOKUP($C599,'Plaza SP Tar'!$C:$C,'Plaza SP Tar'!F:F)</f>
        <v>3395360.6240288229</v>
      </c>
      <c r="H599" s="1">
        <v>18000</v>
      </c>
      <c r="I599" s="1">
        <f>_xlfn.XLOOKUP($C599,'Plaza SP Tar'!$C:$C,'Plaza SP Tar'!G:G)</f>
        <v>3734896.686431705</v>
      </c>
      <c r="J599" s="1">
        <v>25000</v>
      </c>
      <c r="K599" s="1">
        <f>_xlfn.XLOOKUP($C599,'Plaza SP Tar'!$C:$C,'Plaza SP Tar'!H:H)</f>
        <v>4074432.7488345876</v>
      </c>
      <c r="L599" s="1">
        <v>30000</v>
      </c>
      <c r="M599" s="1">
        <f>_xlfn.XLOOKUP($C599,'Plaza SP Tar'!$C:$C,'Plaza SP Tar'!I:I)</f>
        <v>4413968.8112374702</v>
      </c>
      <c r="N599" s="1">
        <v>40000</v>
      </c>
      <c r="O599" s="1">
        <f>_xlfn.XLOOKUP($C599,'Plaza SP Tar'!$C:$C,'Plaza SP Tar'!J:J)</f>
        <v>4753504.8736403519</v>
      </c>
      <c r="P599" s="1">
        <v>45000</v>
      </c>
      <c r="Q599" s="1">
        <f>_xlfn.XLOOKUP($C599,'Plaza SP Tar'!$C:$C,'Plaza SP Tar'!K:K)</f>
        <v>5093040.9360432345</v>
      </c>
      <c r="R599">
        <v>50000</v>
      </c>
    </row>
    <row r="600" spans="1:18" x14ac:dyDescent="0.25">
      <c r="A600" t="s">
        <v>608</v>
      </c>
      <c r="B600" t="s">
        <v>645</v>
      </c>
      <c r="C600" t="s">
        <v>652</v>
      </c>
      <c r="D600" s="1">
        <v>2699006</v>
      </c>
      <c r="E600" s="1">
        <f>_xlfn.XLOOKUP($C600,'Plaza SP Tar'!$C:$C,'Plaza SP Tar'!E:E)</f>
        <v>2946051.4332257621</v>
      </c>
      <c r="F600" s="1">
        <v>10000</v>
      </c>
      <c r="G600" s="1">
        <f>_xlfn.XLOOKUP($C600,'Plaza SP Tar'!$C:$C,'Plaza SP Tar'!F:F)</f>
        <v>3366915.9236865854</v>
      </c>
      <c r="H600" s="1">
        <v>18000</v>
      </c>
      <c r="I600" s="1">
        <f>_xlfn.XLOOKUP($C600,'Plaza SP Tar'!$C:$C,'Plaza SP Tar'!G:G)</f>
        <v>3703607.5160552436</v>
      </c>
      <c r="J600" s="1">
        <v>25000</v>
      </c>
      <c r="K600" s="1">
        <f>_xlfn.XLOOKUP($C600,'Plaza SP Tar'!$C:$C,'Plaza SP Tar'!H:H)</f>
        <v>4040299.1084239022</v>
      </c>
      <c r="L600" s="1">
        <v>30000</v>
      </c>
      <c r="M600" s="1">
        <f>_xlfn.XLOOKUP($C600,'Plaza SP Tar'!$C:$C,'Plaza SP Tar'!I:I)</f>
        <v>4376990.7007925613</v>
      </c>
      <c r="N600" s="1">
        <v>40000</v>
      </c>
      <c r="O600" s="1">
        <f>_xlfn.XLOOKUP($C600,'Plaza SP Tar'!$C:$C,'Plaza SP Tar'!J:J)</f>
        <v>4713682.293161219</v>
      </c>
      <c r="P600" s="1">
        <v>45000</v>
      </c>
      <c r="Q600" s="1">
        <f>_xlfn.XLOOKUP($C600,'Plaza SP Tar'!$C:$C,'Plaza SP Tar'!K:K)</f>
        <v>5050373.8855298776</v>
      </c>
      <c r="R600">
        <v>50000</v>
      </c>
    </row>
    <row r="601" spans="1:18" x14ac:dyDescent="0.25">
      <c r="A601" t="s">
        <v>608</v>
      </c>
      <c r="B601" t="s">
        <v>645</v>
      </c>
      <c r="C601" t="s">
        <v>653</v>
      </c>
      <c r="D601" s="1">
        <v>3170645</v>
      </c>
      <c r="E601" s="1">
        <f>_xlfn.XLOOKUP($C601,'Plaza SP Tar'!$C:$C,'Plaza SP Tar'!E:E)</f>
        <v>3460860.4969755891</v>
      </c>
      <c r="F601" s="1">
        <v>10000</v>
      </c>
      <c r="G601" s="1">
        <f>_xlfn.XLOOKUP($C601,'Plaza SP Tar'!$C:$C,'Plaza SP Tar'!F:F)</f>
        <v>3955269.1394006731</v>
      </c>
      <c r="H601" s="1">
        <v>18000</v>
      </c>
      <c r="I601" s="1">
        <f>_xlfn.XLOOKUP($C601,'Plaza SP Tar'!$C:$C,'Plaza SP Tar'!G:G)</f>
        <v>4350796.0533407405</v>
      </c>
      <c r="J601" s="1">
        <v>25000</v>
      </c>
      <c r="K601" s="1">
        <f>_xlfn.XLOOKUP($C601,'Plaza SP Tar'!$C:$C,'Plaza SP Tar'!H:H)</f>
        <v>4746322.9672808079</v>
      </c>
      <c r="L601" s="1">
        <v>30000</v>
      </c>
      <c r="M601" s="1">
        <f>_xlfn.XLOOKUP($C601,'Plaza SP Tar'!$C:$C,'Plaza SP Tar'!I:I)</f>
        <v>5141849.8812208753</v>
      </c>
      <c r="N601" s="1">
        <v>40000</v>
      </c>
      <c r="O601" s="1">
        <f>_xlfn.XLOOKUP($C601,'Plaza SP Tar'!$C:$C,'Plaza SP Tar'!J:J)</f>
        <v>5537376.7951609418</v>
      </c>
      <c r="P601" s="1">
        <v>45000</v>
      </c>
      <c r="Q601" s="1">
        <f>_xlfn.XLOOKUP($C601,'Plaza SP Tar'!$C:$C,'Plaza SP Tar'!K:K)</f>
        <v>5932903.7091010092</v>
      </c>
      <c r="R601">
        <v>50000</v>
      </c>
    </row>
    <row r="602" spans="1:18" x14ac:dyDescent="0.25">
      <c r="A602" t="s">
        <v>608</v>
      </c>
      <c r="B602" t="s">
        <v>645</v>
      </c>
      <c r="C602" t="s">
        <v>654</v>
      </c>
      <c r="D602" s="1">
        <v>10097205</v>
      </c>
      <c r="E602" s="1">
        <f>_xlfn.XLOOKUP($C602,'Plaza SP Tar'!$C:$C,'Plaza SP Tar'!E:E)</f>
        <v>11021422.428043632</v>
      </c>
      <c r="F602" s="1">
        <v>10000</v>
      </c>
      <c r="G602" s="1">
        <f>_xlfn.XLOOKUP($C602,'Plaza SP Tar'!$C:$C,'Plaza SP Tar'!F:F)</f>
        <v>12595911.346335581</v>
      </c>
      <c r="H602" s="1">
        <v>18000</v>
      </c>
      <c r="I602" s="1">
        <f>_xlfn.XLOOKUP($C602,'Plaza SP Tar'!$C:$C,'Plaza SP Tar'!G:G)</f>
        <v>13855502.480969137</v>
      </c>
      <c r="J602" s="1">
        <v>25000</v>
      </c>
      <c r="K602" s="1">
        <f>_xlfn.XLOOKUP($C602,'Plaza SP Tar'!$C:$C,'Plaza SP Tar'!H:H)</f>
        <v>15115093.615602694</v>
      </c>
      <c r="L602" s="1">
        <v>30000</v>
      </c>
      <c r="M602" s="1">
        <f>_xlfn.XLOOKUP($C602,'Plaza SP Tar'!$C:$C,'Plaza SP Tar'!I:I)</f>
        <v>16374684.750236254</v>
      </c>
      <c r="N602" s="1">
        <v>40000</v>
      </c>
      <c r="O602" s="1">
        <f>_xlfn.XLOOKUP($C602,'Plaza SP Tar'!$C:$C,'Plaza SP Tar'!J:J)</f>
        <v>17634275.88486981</v>
      </c>
      <c r="P602" s="1">
        <v>45000</v>
      </c>
      <c r="Q602" s="1">
        <f>_xlfn.XLOOKUP($C602,'Plaza SP Tar'!$C:$C,'Plaza SP Tar'!K:K)</f>
        <v>18893867.01950337</v>
      </c>
      <c r="R602">
        <v>50000</v>
      </c>
    </row>
    <row r="603" spans="1:18" x14ac:dyDescent="0.25">
      <c r="A603" t="s">
        <v>608</v>
      </c>
      <c r="B603" t="s">
        <v>645</v>
      </c>
      <c r="C603" t="s">
        <v>655</v>
      </c>
      <c r="D603" s="1">
        <v>7279216</v>
      </c>
      <c r="E603" s="1">
        <f>_xlfn.XLOOKUP($C603,'Plaza SP Tar'!$C:$C,'Plaza SP Tar'!E:E)</f>
        <v>7945497.2421550378</v>
      </c>
      <c r="F603" s="1">
        <v>10000</v>
      </c>
      <c r="G603" s="1">
        <f>_xlfn.XLOOKUP($C603,'Plaza SP Tar'!$C:$C,'Plaza SP Tar'!F:F)</f>
        <v>9080568.2767486144</v>
      </c>
      <c r="H603" s="1">
        <v>18000</v>
      </c>
      <c r="I603" s="1">
        <f>_xlfn.XLOOKUP($C603,'Plaza SP Tar'!$C:$C,'Plaza SP Tar'!G:G)</f>
        <v>9988625.1044234745</v>
      </c>
      <c r="J603" s="1">
        <v>25000</v>
      </c>
      <c r="K603" s="1">
        <f>_xlfn.XLOOKUP($C603,'Plaza SP Tar'!$C:$C,'Plaza SP Tar'!H:H)</f>
        <v>10896681.932098337</v>
      </c>
      <c r="L603" s="1">
        <v>30000</v>
      </c>
      <c r="M603" s="1">
        <f>_xlfn.XLOOKUP($C603,'Plaza SP Tar'!$C:$C,'Plaza SP Tar'!I:I)</f>
        <v>11804738.759773199</v>
      </c>
      <c r="N603" s="1">
        <v>40000</v>
      </c>
      <c r="O603" s="1">
        <f>_xlfn.XLOOKUP($C603,'Plaza SP Tar'!$C:$C,'Plaza SP Tar'!J:J)</f>
        <v>12712795.587448059</v>
      </c>
      <c r="P603" s="1">
        <v>45000</v>
      </c>
      <c r="Q603" s="1">
        <f>_xlfn.XLOOKUP($C603,'Plaza SP Tar'!$C:$C,'Plaza SP Tar'!K:K)</f>
        <v>13620852.415122921</v>
      </c>
      <c r="R603">
        <v>50000</v>
      </c>
    </row>
    <row r="604" spans="1:18" x14ac:dyDescent="0.25">
      <c r="A604" t="s">
        <v>608</v>
      </c>
      <c r="B604" t="s">
        <v>645</v>
      </c>
      <c r="C604" t="s">
        <v>656</v>
      </c>
      <c r="D604" s="1">
        <v>2843295</v>
      </c>
      <c r="E604" s="1">
        <f>_xlfn.XLOOKUP($C604,'Plaza SP Tar'!$C:$C,'Plaza SP Tar'!E:E)</f>
        <v>3103547.4948309278</v>
      </c>
      <c r="F604" s="1">
        <v>10000</v>
      </c>
      <c r="G604" s="1">
        <f>_xlfn.XLOOKUP($C604,'Plaza SP Tar'!$C:$C,'Plaza SP Tar'!F:F)</f>
        <v>3546911.4226639178</v>
      </c>
      <c r="H604" s="1">
        <v>18000</v>
      </c>
      <c r="I604" s="1">
        <f>_xlfn.XLOOKUP($C604,'Plaza SP Tar'!$C:$C,'Plaza SP Tar'!G:G)</f>
        <v>3901602.5649303091</v>
      </c>
      <c r="J604" s="1">
        <v>25000</v>
      </c>
      <c r="K604" s="1">
        <f>_xlfn.XLOOKUP($C604,'Plaza SP Tar'!$C:$C,'Plaza SP Tar'!H:H)</f>
        <v>4256293.7071967013</v>
      </c>
      <c r="L604" s="1">
        <v>30000</v>
      </c>
      <c r="M604" s="1">
        <f>_xlfn.XLOOKUP($C604,'Plaza SP Tar'!$C:$C,'Plaza SP Tar'!I:I)</f>
        <v>4610984.8494630931</v>
      </c>
      <c r="N604" s="1">
        <v>40000</v>
      </c>
      <c r="O604" s="1">
        <f>_xlfn.XLOOKUP($C604,'Plaza SP Tar'!$C:$C,'Plaza SP Tar'!J:J)</f>
        <v>4965675.9917294839</v>
      </c>
      <c r="P604" s="1">
        <v>45000</v>
      </c>
      <c r="Q604" s="1">
        <f>_xlfn.XLOOKUP($C604,'Plaza SP Tar'!$C:$C,'Plaza SP Tar'!K:K)</f>
        <v>5320367.1339958757</v>
      </c>
      <c r="R604">
        <v>50000</v>
      </c>
    </row>
    <row r="605" spans="1:18" x14ac:dyDescent="0.25">
      <c r="A605" t="s">
        <v>608</v>
      </c>
      <c r="B605" t="s">
        <v>645</v>
      </c>
      <c r="C605" t="s">
        <v>657</v>
      </c>
      <c r="D605" s="1">
        <v>4794506</v>
      </c>
      <c r="E605" s="1">
        <f>_xlfn.XLOOKUP($C605,'Plaza SP Tar'!$C:$C,'Plaza SP Tar'!E:E)</f>
        <v>5233356.7516743261</v>
      </c>
      <c r="F605" s="1">
        <v>10000</v>
      </c>
      <c r="G605" s="1">
        <f>_xlfn.XLOOKUP($C605,'Plaza SP Tar'!$C:$C,'Plaza SP Tar'!F:F)</f>
        <v>5980979.1447706586</v>
      </c>
      <c r="H605" s="1">
        <v>18000</v>
      </c>
      <c r="I605" s="1">
        <f>_xlfn.XLOOKUP($C605,'Plaza SP Tar'!$C:$C,'Plaza SP Tar'!G:G)</f>
        <v>6579077.0592477238</v>
      </c>
      <c r="J605" s="1">
        <v>25000</v>
      </c>
      <c r="K605" s="1">
        <f>_xlfn.XLOOKUP($C605,'Plaza SP Tar'!$C:$C,'Plaza SP Tar'!H:H)</f>
        <v>7177174.9737247899</v>
      </c>
      <c r="L605" s="1">
        <v>30000</v>
      </c>
      <c r="M605" s="1">
        <f>_xlfn.XLOOKUP($C605,'Plaza SP Tar'!$C:$C,'Plaza SP Tar'!I:I)</f>
        <v>7775272.8882018561</v>
      </c>
      <c r="N605" s="1">
        <v>40000</v>
      </c>
      <c r="O605" s="1">
        <f>_xlfn.XLOOKUP($C605,'Plaza SP Tar'!$C:$C,'Plaza SP Tar'!J:J)</f>
        <v>8373370.8026789213</v>
      </c>
      <c r="P605" s="1">
        <v>45000</v>
      </c>
      <c r="Q605" s="1">
        <f>_xlfn.XLOOKUP($C605,'Plaza SP Tar'!$C:$C,'Plaza SP Tar'!K:K)</f>
        <v>8971468.7171559874</v>
      </c>
      <c r="R605">
        <v>50000</v>
      </c>
    </row>
    <row r="606" spans="1:18" x14ac:dyDescent="0.25">
      <c r="A606" t="s">
        <v>608</v>
      </c>
      <c r="B606" t="s">
        <v>658</v>
      </c>
      <c r="C606" t="s">
        <v>659</v>
      </c>
      <c r="D606" s="1">
        <v>3824458</v>
      </c>
      <c r="E606" s="1">
        <f>_xlfn.XLOOKUP($C606,'Plaza SP Tar'!$C:$C,'Plaza SP Tar'!E:E)</f>
        <v>4174518.3123756419</v>
      </c>
      <c r="F606" s="1">
        <v>10000</v>
      </c>
      <c r="G606" s="1">
        <f>_xlfn.XLOOKUP($C606,'Plaza SP Tar'!$C:$C,'Plaza SP Tar'!F:F)</f>
        <v>4770878.0712864483</v>
      </c>
      <c r="H606" s="1">
        <v>18000</v>
      </c>
      <c r="I606" s="1">
        <f>_xlfn.XLOOKUP($C606,'Plaza SP Tar'!$C:$C,'Plaza SP Tar'!G:G)</f>
        <v>5247965.8784150919</v>
      </c>
      <c r="J606" s="1">
        <v>25000</v>
      </c>
      <c r="K606" s="1">
        <f>_xlfn.XLOOKUP($C606,'Plaza SP Tar'!$C:$C,'Plaza SP Tar'!H:H)</f>
        <v>5725053.6855437374</v>
      </c>
      <c r="L606" s="1">
        <v>30000</v>
      </c>
      <c r="M606" s="1">
        <f>_xlfn.XLOOKUP($C606,'Plaza SP Tar'!$C:$C,'Plaza SP Tar'!I:I)</f>
        <v>6202141.4926723819</v>
      </c>
      <c r="N606" s="1">
        <v>40000</v>
      </c>
      <c r="O606" s="1">
        <f>_xlfn.XLOOKUP($C606,'Plaza SP Tar'!$C:$C,'Plaza SP Tar'!J:J)</f>
        <v>6679229.2998010265</v>
      </c>
      <c r="P606" s="1">
        <v>45000</v>
      </c>
      <c r="Q606" s="1">
        <f>_xlfn.XLOOKUP($C606,'Plaza SP Tar'!$C:$C,'Plaza SP Tar'!K:K)</f>
        <v>7156317.106929672</v>
      </c>
      <c r="R606">
        <v>50000</v>
      </c>
    </row>
    <row r="607" spans="1:18" x14ac:dyDescent="0.25">
      <c r="A607" t="s">
        <v>608</v>
      </c>
      <c r="B607" t="s">
        <v>658</v>
      </c>
      <c r="C607" t="s">
        <v>660</v>
      </c>
      <c r="D607" s="1">
        <v>2354614</v>
      </c>
      <c r="E607" s="1">
        <f>_xlfn.XLOOKUP($C607,'Plaza SP Tar'!$C:$C,'Plaza SP Tar'!E:E)</f>
        <v>2570136.5426358613</v>
      </c>
      <c r="F607" s="1">
        <v>10000</v>
      </c>
      <c r="G607" s="1">
        <f>_xlfn.XLOOKUP($C607,'Plaza SP Tar'!$C:$C,'Plaza SP Tar'!F:F)</f>
        <v>2937298.9058695557</v>
      </c>
      <c r="H607" s="1">
        <v>18000</v>
      </c>
      <c r="I607" s="1">
        <f>_xlfn.XLOOKUP($C607,'Plaza SP Tar'!$C:$C,'Plaza SP Tar'!G:G)</f>
        <v>3231028.7964565107</v>
      </c>
      <c r="J607" s="1">
        <v>25000</v>
      </c>
      <c r="K607" s="1">
        <f>_xlfn.XLOOKUP($C607,'Plaza SP Tar'!$C:$C,'Plaza SP Tar'!H:H)</f>
        <v>3524758.6870434666</v>
      </c>
      <c r="L607" s="1">
        <v>30000</v>
      </c>
      <c r="M607" s="1">
        <f>_xlfn.XLOOKUP($C607,'Plaza SP Tar'!$C:$C,'Plaza SP Tar'!I:I)</f>
        <v>3818488.5776304221</v>
      </c>
      <c r="N607" s="1">
        <v>40000</v>
      </c>
      <c r="O607" s="1">
        <f>_xlfn.XLOOKUP($C607,'Plaza SP Tar'!$C:$C,'Plaza SP Tar'!J:J)</f>
        <v>4112218.4682173771</v>
      </c>
      <c r="P607" s="1">
        <v>45000</v>
      </c>
      <c r="Q607" s="1">
        <f>_xlfn.XLOOKUP($C607,'Plaza SP Tar'!$C:$C,'Plaza SP Tar'!K:K)</f>
        <v>4405948.358804333</v>
      </c>
      <c r="R607">
        <v>50000</v>
      </c>
    </row>
    <row r="608" spans="1:18" x14ac:dyDescent="0.25">
      <c r="A608" t="s">
        <v>608</v>
      </c>
      <c r="B608" t="s">
        <v>658</v>
      </c>
      <c r="C608" t="s">
        <v>661</v>
      </c>
      <c r="D608" s="1">
        <v>4646230</v>
      </c>
      <c r="E608" s="1">
        <f>_xlfn.XLOOKUP($C608,'Plaza SP Tar'!$C:$C,'Plaza SP Tar'!E:E)</f>
        <v>5071508.7519614752</v>
      </c>
      <c r="F608" s="1">
        <v>10000</v>
      </c>
      <c r="G608" s="1">
        <f>_xlfn.XLOOKUP($C608,'Plaza SP Tar'!$C:$C,'Plaza SP Tar'!F:F)</f>
        <v>5796010.002241686</v>
      </c>
      <c r="H608" s="1">
        <v>18000</v>
      </c>
      <c r="I608" s="1">
        <f>_xlfn.XLOOKUP($C608,'Plaza SP Tar'!$C:$C,'Plaza SP Tar'!G:G)</f>
        <v>6375611.0024658535</v>
      </c>
      <c r="J608" s="1">
        <v>25000</v>
      </c>
      <c r="K608" s="1">
        <f>_xlfn.XLOOKUP($C608,'Plaza SP Tar'!$C:$C,'Plaza SP Tar'!H:H)</f>
        <v>6955212.0026900228</v>
      </c>
      <c r="L608" s="1">
        <v>30000</v>
      </c>
      <c r="M608" s="1">
        <f>_xlfn.XLOOKUP($C608,'Plaza SP Tar'!$C:$C,'Plaza SP Tar'!I:I)</f>
        <v>7534813.0029141912</v>
      </c>
      <c r="N608" s="1">
        <v>40000</v>
      </c>
      <c r="O608" s="1">
        <f>_xlfn.XLOOKUP($C608,'Plaza SP Tar'!$C:$C,'Plaza SP Tar'!J:J)</f>
        <v>8114414.0031383596</v>
      </c>
      <c r="P608" s="1">
        <v>45000</v>
      </c>
      <c r="Q608" s="1">
        <f>_xlfn.XLOOKUP($C608,'Plaza SP Tar'!$C:$C,'Plaza SP Tar'!K:K)</f>
        <v>8694015.003362529</v>
      </c>
      <c r="R608">
        <v>50000</v>
      </c>
    </row>
    <row r="609" spans="1:18" x14ac:dyDescent="0.25">
      <c r="A609" t="s">
        <v>608</v>
      </c>
      <c r="B609" t="s">
        <v>658</v>
      </c>
      <c r="C609" t="s">
        <v>662</v>
      </c>
      <c r="D609" s="1">
        <v>4236185</v>
      </c>
      <c r="E609" s="1">
        <f>_xlfn.XLOOKUP($C609,'Plaza SP Tar'!$C:$C,'Plaza SP Tar'!E:E)</f>
        <v>4623931.5105855549</v>
      </c>
      <c r="F609" s="1">
        <v>10000</v>
      </c>
      <c r="G609" s="1">
        <f>_xlfn.XLOOKUP($C609,'Plaza SP Tar'!$C:$C,'Plaza SP Tar'!F:F)</f>
        <v>5284493.1549549196</v>
      </c>
      <c r="H609" s="1">
        <v>18000</v>
      </c>
      <c r="I609" s="1">
        <f>_xlfn.XLOOKUP($C609,'Plaza SP Tar'!$C:$C,'Plaza SP Tar'!G:G)</f>
        <v>5812942.4704504106</v>
      </c>
      <c r="J609" s="1">
        <v>25000</v>
      </c>
      <c r="K609" s="1">
        <f>_xlfn.XLOOKUP($C609,'Plaza SP Tar'!$C:$C,'Plaza SP Tar'!H:H)</f>
        <v>6341391.7859459035</v>
      </c>
      <c r="L609" s="1">
        <v>30000</v>
      </c>
      <c r="M609" s="1">
        <f>_xlfn.XLOOKUP($C609,'Plaza SP Tar'!$C:$C,'Plaza SP Tar'!I:I)</f>
        <v>6869841.1014413955</v>
      </c>
      <c r="N609" s="1">
        <v>40000</v>
      </c>
      <c r="O609" s="1">
        <f>_xlfn.XLOOKUP($C609,'Plaza SP Tar'!$C:$C,'Plaza SP Tar'!J:J)</f>
        <v>7398290.4169368865</v>
      </c>
      <c r="P609" s="1">
        <v>45000</v>
      </c>
      <c r="Q609" s="1">
        <f>_xlfn.XLOOKUP($C609,'Plaza SP Tar'!$C:$C,'Plaza SP Tar'!K:K)</f>
        <v>7926739.7324323785</v>
      </c>
      <c r="R609">
        <v>50000</v>
      </c>
    </row>
    <row r="610" spans="1:18" x14ac:dyDescent="0.25">
      <c r="A610" t="s">
        <v>608</v>
      </c>
      <c r="B610" t="s">
        <v>658</v>
      </c>
      <c r="C610" t="s">
        <v>663</v>
      </c>
      <c r="D610" s="1">
        <v>5933551</v>
      </c>
      <c r="E610" s="1">
        <f>_xlfn.XLOOKUP($C610,'Plaza SP Tar'!$C:$C,'Plaza SP Tar'!E:E)</f>
        <v>6476660.8253809568</v>
      </c>
      <c r="F610" s="1">
        <v>10000</v>
      </c>
      <c r="G610" s="1">
        <f>_xlfn.XLOOKUP($C610,'Plaza SP Tar'!$C:$C,'Plaza SP Tar'!F:F)</f>
        <v>7401898.0861496646</v>
      </c>
      <c r="H610" s="1">
        <v>18000</v>
      </c>
      <c r="I610" s="1">
        <f>_xlfn.XLOOKUP($C610,'Plaza SP Tar'!$C:$C,'Plaza SP Tar'!G:G)</f>
        <v>8142087.8947646301</v>
      </c>
      <c r="J610" s="1">
        <v>25000</v>
      </c>
      <c r="K610" s="1">
        <f>_xlfn.XLOOKUP($C610,'Plaza SP Tar'!$C:$C,'Plaza SP Tar'!H:H)</f>
        <v>8882277.7033795975</v>
      </c>
      <c r="L610" s="1">
        <v>30000</v>
      </c>
      <c r="M610" s="1">
        <f>_xlfn.XLOOKUP($C610,'Plaza SP Tar'!$C:$C,'Plaza SP Tar'!I:I)</f>
        <v>9622467.5119945649</v>
      </c>
      <c r="N610" s="1">
        <v>40000</v>
      </c>
      <c r="O610" s="1">
        <f>_xlfn.XLOOKUP($C610,'Plaza SP Tar'!$C:$C,'Plaza SP Tar'!J:J)</f>
        <v>10362657.32060953</v>
      </c>
      <c r="P610" s="1">
        <v>45000</v>
      </c>
      <c r="Q610" s="1">
        <f>_xlfn.XLOOKUP($C610,'Plaza SP Tar'!$C:$C,'Plaza SP Tar'!K:K)</f>
        <v>11102847.129224496</v>
      </c>
      <c r="R610">
        <v>50000</v>
      </c>
    </row>
    <row r="611" spans="1:18" x14ac:dyDescent="0.25">
      <c r="A611" t="s">
        <v>608</v>
      </c>
      <c r="B611" t="s">
        <v>658</v>
      </c>
      <c r="C611" t="s">
        <v>664</v>
      </c>
      <c r="D611" s="1">
        <v>4061069</v>
      </c>
      <c r="E611" s="1">
        <f>_xlfn.XLOOKUP($C611,'Plaza SP Tar'!$C:$C,'Plaza SP Tar'!E:E)</f>
        <v>4432786.7918332573</v>
      </c>
      <c r="F611" s="1">
        <v>10000</v>
      </c>
      <c r="G611" s="1">
        <f>_xlfn.XLOOKUP($C611,'Plaza SP Tar'!$C:$C,'Plaza SP Tar'!F:F)</f>
        <v>5066042.0478094369</v>
      </c>
      <c r="H611" s="1">
        <v>18000</v>
      </c>
      <c r="I611" s="1">
        <f>_xlfn.XLOOKUP($C611,'Plaza SP Tar'!$C:$C,'Plaza SP Tar'!G:G)</f>
        <v>5572646.2525903806</v>
      </c>
      <c r="J611" s="1">
        <v>25000</v>
      </c>
      <c r="K611" s="1">
        <f>_xlfn.XLOOKUP($C611,'Plaza SP Tar'!$C:$C,'Plaza SP Tar'!H:H)</f>
        <v>6079250.4573713243</v>
      </c>
      <c r="L611" s="1">
        <v>30000</v>
      </c>
      <c r="M611" s="1">
        <f>_xlfn.XLOOKUP($C611,'Plaza SP Tar'!$C:$C,'Plaza SP Tar'!I:I)</f>
        <v>6585854.662152268</v>
      </c>
      <c r="N611" s="1">
        <v>40000</v>
      </c>
      <c r="O611" s="1">
        <f>_xlfn.XLOOKUP($C611,'Plaza SP Tar'!$C:$C,'Plaza SP Tar'!J:J)</f>
        <v>7092458.8669332108</v>
      </c>
      <c r="P611" s="1">
        <v>45000</v>
      </c>
      <c r="Q611" s="1">
        <f>_xlfn.XLOOKUP($C611,'Plaza SP Tar'!$C:$C,'Plaza SP Tar'!K:K)</f>
        <v>7599063.0717141554</v>
      </c>
      <c r="R611">
        <v>50000</v>
      </c>
    </row>
    <row r="612" spans="1:18" x14ac:dyDescent="0.25">
      <c r="A612" t="s">
        <v>608</v>
      </c>
      <c r="B612" t="s">
        <v>658</v>
      </c>
      <c r="C612" t="s">
        <v>665</v>
      </c>
      <c r="D612" s="1">
        <v>8071706</v>
      </c>
      <c r="E612" s="1">
        <f>_xlfn.XLOOKUP($C612,'Plaza SP Tar'!$C:$C,'Plaza SP Tar'!E:E)</f>
        <v>8810525.4415429179</v>
      </c>
      <c r="F612" s="1">
        <v>10000</v>
      </c>
      <c r="G612" s="1">
        <f>_xlfn.XLOOKUP($C612,'Plaza SP Tar'!$C:$C,'Plaza SP Tar'!F:F)</f>
        <v>10069171.933191907</v>
      </c>
      <c r="H612" s="1">
        <v>18000</v>
      </c>
      <c r="I612" s="1">
        <f>_xlfn.XLOOKUP($C612,'Plaza SP Tar'!$C:$C,'Plaza SP Tar'!G:G)</f>
        <v>11076089.126511095</v>
      </c>
      <c r="J612" s="1">
        <v>25000</v>
      </c>
      <c r="K612" s="1">
        <f>_xlfn.XLOOKUP($C612,'Plaza SP Tar'!$C:$C,'Plaza SP Tar'!H:H)</f>
        <v>12083006.319830287</v>
      </c>
      <c r="L612" s="1">
        <v>30000</v>
      </c>
      <c r="M612" s="1">
        <f>_xlfn.XLOOKUP($C612,'Plaza SP Tar'!$C:$C,'Plaza SP Tar'!I:I)</f>
        <v>13089923.513149478</v>
      </c>
      <c r="N612" s="1">
        <v>40000</v>
      </c>
      <c r="O612" s="1">
        <f>_xlfn.XLOOKUP($C612,'Plaza SP Tar'!$C:$C,'Plaza SP Tar'!J:J)</f>
        <v>14096840.706468666</v>
      </c>
      <c r="P612" s="1">
        <v>45000</v>
      </c>
      <c r="Q612" s="1">
        <f>_xlfn.XLOOKUP($C612,'Plaza SP Tar'!$C:$C,'Plaza SP Tar'!K:K)</f>
        <v>15103757.899787858</v>
      </c>
      <c r="R612">
        <v>50000</v>
      </c>
    </row>
    <row r="613" spans="1:18" x14ac:dyDescent="0.25">
      <c r="A613" t="s">
        <v>608</v>
      </c>
      <c r="B613" t="s">
        <v>658</v>
      </c>
      <c r="C613" t="s">
        <v>666</v>
      </c>
      <c r="D613" s="1">
        <v>6953488</v>
      </c>
      <c r="E613" s="1">
        <f>_xlfn.XLOOKUP($C613,'Plaza SP Tar'!$C:$C,'Plaza SP Tar'!E:E)</f>
        <v>7589954.7049240125</v>
      </c>
      <c r="F613" s="1">
        <v>10000</v>
      </c>
      <c r="G613" s="1">
        <f>_xlfn.XLOOKUP($C613,'Plaza SP Tar'!$C:$C,'Plaza SP Tar'!F:F)</f>
        <v>8674233.9484845847</v>
      </c>
      <c r="H613" s="1">
        <v>18000</v>
      </c>
      <c r="I613" s="1">
        <f>_xlfn.XLOOKUP($C613,'Plaza SP Tar'!$C:$C,'Plaza SP Tar'!G:G)</f>
        <v>9541657.3433330432</v>
      </c>
      <c r="J613" s="1">
        <v>25000</v>
      </c>
      <c r="K613" s="1">
        <f>_xlfn.XLOOKUP($C613,'Plaza SP Tar'!$C:$C,'Plaza SP Tar'!H:H)</f>
        <v>10409080.738181502</v>
      </c>
      <c r="L613" s="1">
        <v>30000</v>
      </c>
      <c r="M613" s="1">
        <f>_xlfn.XLOOKUP($C613,'Plaza SP Tar'!$C:$C,'Plaza SP Tar'!I:I)</f>
        <v>11276504.13302996</v>
      </c>
      <c r="N613" s="1">
        <v>40000</v>
      </c>
      <c r="O613" s="1">
        <f>_xlfn.XLOOKUP($C613,'Plaza SP Tar'!$C:$C,'Plaza SP Tar'!J:J)</f>
        <v>12143927.527878419</v>
      </c>
      <c r="P613" s="1">
        <v>45000</v>
      </c>
      <c r="Q613" s="1">
        <f>_xlfn.XLOOKUP($C613,'Plaza SP Tar'!$C:$C,'Plaza SP Tar'!K:K)</f>
        <v>13011350.922726877</v>
      </c>
      <c r="R613">
        <v>50000</v>
      </c>
    </row>
    <row r="614" spans="1:18" x14ac:dyDescent="0.25">
      <c r="A614" t="s">
        <v>608</v>
      </c>
      <c r="B614" t="s">
        <v>658</v>
      </c>
      <c r="C614" t="s">
        <v>667</v>
      </c>
      <c r="D614" s="1">
        <v>6856203</v>
      </c>
      <c r="E614" s="1">
        <f>_xlfn.XLOOKUP($C614,'Plaza SP Tar'!$C:$C,'Plaza SP Tar'!E:E)</f>
        <v>7483765.0137260798</v>
      </c>
      <c r="F614" s="1">
        <v>10000</v>
      </c>
      <c r="G614" s="1">
        <f>_xlfn.XLOOKUP($C614,'Plaza SP Tar'!$C:$C,'Plaza SP Tar'!F:F)</f>
        <v>8552874.3014012333</v>
      </c>
      <c r="H614" s="1">
        <v>18000</v>
      </c>
      <c r="I614" s="1">
        <f>_xlfn.XLOOKUP($C614,'Plaza SP Tar'!$C:$C,'Plaza SP Tar'!G:G)</f>
        <v>9408161.7315413561</v>
      </c>
      <c r="J614" s="1">
        <v>25000</v>
      </c>
      <c r="K614" s="1">
        <f>_xlfn.XLOOKUP($C614,'Plaza SP Tar'!$C:$C,'Plaza SP Tar'!H:H)</f>
        <v>10263449.161681479</v>
      </c>
      <c r="L614" s="1">
        <v>30000</v>
      </c>
      <c r="M614" s="1">
        <f>_xlfn.XLOOKUP($C614,'Plaza SP Tar'!$C:$C,'Plaza SP Tar'!I:I)</f>
        <v>11118736.591821603</v>
      </c>
      <c r="N614" s="1">
        <v>40000</v>
      </c>
      <c r="O614" s="1">
        <f>_xlfn.XLOOKUP($C614,'Plaza SP Tar'!$C:$C,'Plaza SP Tar'!J:J)</f>
        <v>11974024.021961726</v>
      </c>
      <c r="P614" s="1">
        <v>45000</v>
      </c>
      <c r="Q614" s="1">
        <f>_xlfn.XLOOKUP($C614,'Plaza SP Tar'!$C:$C,'Plaza SP Tar'!K:K)</f>
        <v>12829311.452101849</v>
      </c>
      <c r="R614">
        <v>50000</v>
      </c>
    </row>
    <row r="615" spans="1:18" x14ac:dyDescent="0.25">
      <c r="A615" t="s">
        <v>608</v>
      </c>
      <c r="B615" t="s">
        <v>658</v>
      </c>
      <c r="C615" t="s">
        <v>668</v>
      </c>
      <c r="D615" s="1">
        <v>14985357</v>
      </c>
      <c r="E615" s="1">
        <f>_xlfn.XLOOKUP($C615,'Plaza SP Tar'!$C:$C,'Plaza SP Tar'!E:E)</f>
        <v>16356996.785946274</v>
      </c>
      <c r="F615" s="1">
        <v>10000</v>
      </c>
      <c r="G615" s="1">
        <f>_xlfn.XLOOKUP($C615,'Plaza SP Tar'!$C:$C,'Plaza SP Tar'!F:F)</f>
        <v>18693710.612510026</v>
      </c>
      <c r="H615" s="1">
        <v>18000</v>
      </c>
      <c r="I615" s="1">
        <f>_xlfn.XLOOKUP($C615,'Plaza SP Tar'!$C:$C,'Plaza SP Tar'!G:G)</f>
        <v>20563081.673761029</v>
      </c>
      <c r="J615" s="1">
        <v>25000</v>
      </c>
      <c r="K615" s="1">
        <f>_xlfn.XLOOKUP($C615,'Plaza SP Tar'!$C:$C,'Plaza SP Tar'!H:H)</f>
        <v>22432452.735012032</v>
      </c>
      <c r="L615" s="1">
        <v>30000</v>
      </c>
      <c r="M615" s="1">
        <f>_xlfn.XLOOKUP($C615,'Plaza SP Tar'!$C:$C,'Plaza SP Tar'!I:I)</f>
        <v>24301823.796263035</v>
      </c>
      <c r="N615" s="1">
        <v>40000</v>
      </c>
      <c r="O615" s="1">
        <f>_xlfn.XLOOKUP($C615,'Plaza SP Tar'!$C:$C,'Plaza SP Tar'!J:J)</f>
        <v>26171194.857514035</v>
      </c>
      <c r="P615" s="1">
        <v>45000</v>
      </c>
      <c r="Q615" s="1">
        <f>_xlfn.XLOOKUP($C615,'Plaza SP Tar'!$C:$C,'Plaza SP Tar'!K:K)</f>
        <v>28040565.918765038</v>
      </c>
      <c r="R615">
        <v>50000</v>
      </c>
    </row>
    <row r="616" spans="1:18" x14ac:dyDescent="0.25">
      <c r="A616" t="s">
        <v>608</v>
      </c>
      <c r="B616" t="s">
        <v>658</v>
      </c>
      <c r="C616" t="s">
        <v>669</v>
      </c>
      <c r="D616" s="1">
        <v>6782715</v>
      </c>
      <c r="E616" s="1">
        <f>_xlfn.XLOOKUP($C616,'Plaza SP Tar'!$C:$C,'Plaza SP Tar'!E:E)</f>
        <v>7403550.5096735153</v>
      </c>
      <c r="F616" s="1">
        <v>10000</v>
      </c>
      <c r="G616" s="1">
        <f>_xlfn.XLOOKUP($C616,'Plaza SP Tar'!$C:$C,'Plaza SP Tar'!F:F)</f>
        <v>8461200.5824840181</v>
      </c>
      <c r="H616" s="1">
        <v>18000</v>
      </c>
      <c r="I616" s="1">
        <f>_xlfn.XLOOKUP($C616,'Plaza SP Tar'!$C:$C,'Plaza SP Tar'!G:G)</f>
        <v>9307320.6407324187</v>
      </c>
      <c r="J616" s="1">
        <v>25000</v>
      </c>
      <c r="K616" s="1">
        <f>_xlfn.XLOOKUP($C616,'Plaza SP Tar'!$C:$C,'Plaza SP Tar'!H:H)</f>
        <v>10153440.698980819</v>
      </c>
      <c r="L616" s="1">
        <v>30000</v>
      </c>
      <c r="M616" s="1">
        <f>_xlfn.XLOOKUP($C616,'Plaza SP Tar'!$C:$C,'Plaza SP Tar'!I:I)</f>
        <v>10999560.757229222</v>
      </c>
      <c r="N616" s="1">
        <v>40000</v>
      </c>
      <c r="O616" s="1">
        <f>_xlfn.XLOOKUP($C616,'Plaza SP Tar'!$C:$C,'Plaza SP Tar'!J:J)</f>
        <v>11845680.815477623</v>
      </c>
      <c r="P616" s="1">
        <v>45000</v>
      </c>
      <c r="Q616" s="1">
        <f>_xlfn.XLOOKUP($C616,'Plaza SP Tar'!$C:$C,'Plaza SP Tar'!K:K)</f>
        <v>12691800.873726025</v>
      </c>
      <c r="R616">
        <v>50000</v>
      </c>
    </row>
    <row r="617" spans="1:18" x14ac:dyDescent="0.25">
      <c r="A617" t="s">
        <v>608</v>
      </c>
      <c r="B617" t="s">
        <v>658</v>
      </c>
      <c r="C617" t="s">
        <v>670</v>
      </c>
      <c r="D617" s="1">
        <v>3613262</v>
      </c>
      <c r="E617" s="1">
        <f>_xlfn.XLOOKUP($C617,'Plaza SP Tar'!$C:$C,'Plaza SP Tar'!E:E)</f>
        <v>3943991.1188490074</v>
      </c>
      <c r="F617" s="1">
        <v>10000</v>
      </c>
      <c r="G617" s="1">
        <f>_xlfn.XLOOKUP($C617,'Plaza SP Tar'!$C:$C,'Plaza SP Tar'!F:F)</f>
        <v>4507418.4215417225</v>
      </c>
      <c r="H617" s="1">
        <v>18000</v>
      </c>
      <c r="I617" s="1">
        <f>_xlfn.XLOOKUP($C617,'Plaza SP Tar'!$C:$C,'Plaza SP Tar'!G:G)</f>
        <v>4958160.2636958947</v>
      </c>
      <c r="J617" s="1">
        <v>25000</v>
      </c>
      <c r="K617" s="1">
        <f>_xlfn.XLOOKUP($C617,'Plaza SP Tar'!$C:$C,'Plaza SP Tar'!H:H)</f>
        <v>5408902.105850067</v>
      </c>
      <c r="L617" s="1">
        <v>30000</v>
      </c>
      <c r="M617" s="1">
        <f>_xlfn.XLOOKUP($C617,'Plaza SP Tar'!$C:$C,'Plaza SP Tar'!I:I)</f>
        <v>5859643.9480042392</v>
      </c>
      <c r="N617" s="1">
        <v>40000</v>
      </c>
      <c r="O617" s="1">
        <f>_xlfn.XLOOKUP($C617,'Plaza SP Tar'!$C:$C,'Plaza SP Tar'!J:J)</f>
        <v>6310385.7901584115</v>
      </c>
      <c r="P617" s="1">
        <v>45000</v>
      </c>
      <c r="Q617" s="1">
        <f>_xlfn.XLOOKUP($C617,'Plaza SP Tar'!$C:$C,'Plaza SP Tar'!K:K)</f>
        <v>6761127.6323125837</v>
      </c>
      <c r="R617">
        <v>50000</v>
      </c>
    </row>
    <row r="618" spans="1:18" x14ac:dyDescent="0.25">
      <c r="A618" t="s">
        <v>608</v>
      </c>
      <c r="B618" t="s">
        <v>671</v>
      </c>
      <c r="C618" t="s">
        <v>672</v>
      </c>
      <c r="D618" s="1">
        <v>6528498</v>
      </c>
      <c r="E618" s="1">
        <f>_xlfn.XLOOKUP($C618,'Plaza SP Tar'!$C:$C,'Plaza SP Tar'!E:E)</f>
        <v>7126064.5177193098</v>
      </c>
      <c r="F618" s="1">
        <v>10000</v>
      </c>
      <c r="G618" s="1">
        <f>_xlfn.XLOOKUP($C618,'Plaza SP Tar'!$C:$C,'Plaza SP Tar'!F:F)</f>
        <v>8144073.7345363535</v>
      </c>
      <c r="H618" s="1">
        <v>18000</v>
      </c>
      <c r="I618" s="1">
        <f>_xlfn.XLOOKUP($C618,'Plaza SP Tar'!$C:$C,'Plaza SP Tar'!G:G)</f>
        <v>8958481.1079899874</v>
      </c>
      <c r="J618" s="1">
        <v>25000</v>
      </c>
      <c r="K618" s="1">
        <f>_xlfn.XLOOKUP($C618,'Plaza SP Tar'!$C:$C,'Plaza SP Tar'!H:H)</f>
        <v>9772888.4814436231</v>
      </c>
      <c r="L618" s="1">
        <v>30000</v>
      </c>
      <c r="M618" s="1">
        <f>_xlfn.XLOOKUP($C618,'Plaza SP Tar'!$C:$C,'Plaza SP Tar'!I:I)</f>
        <v>10587295.854897259</v>
      </c>
      <c r="N618" s="1">
        <v>40000</v>
      </c>
      <c r="O618" s="1">
        <f>_xlfn.XLOOKUP($C618,'Plaza SP Tar'!$C:$C,'Plaza SP Tar'!J:J)</f>
        <v>11401703.228350895</v>
      </c>
      <c r="P618" s="1">
        <v>45000</v>
      </c>
      <c r="Q618" s="1">
        <f>_xlfn.XLOOKUP($C618,'Plaza SP Tar'!$C:$C,'Plaza SP Tar'!K:K)</f>
        <v>12216110.60180453</v>
      </c>
      <c r="R618">
        <v>50000</v>
      </c>
    </row>
    <row r="619" spans="1:18" x14ac:dyDescent="0.25">
      <c r="A619" t="s">
        <v>608</v>
      </c>
      <c r="B619" t="s">
        <v>671</v>
      </c>
      <c r="C619" t="s">
        <v>673</v>
      </c>
      <c r="D619" s="1">
        <v>2601886</v>
      </c>
      <c r="E619" s="1">
        <f>_xlfn.XLOOKUP($C619,'Plaza SP Tar'!$C:$C,'Plaza SP Tar'!E:E)</f>
        <v>2840041.8448088095</v>
      </c>
      <c r="F619" s="1">
        <v>10000</v>
      </c>
      <c r="G619" s="1">
        <f>_xlfn.XLOOKUP($C619,'Plaza SP Tar'!$C:$C,'Plaza SP Tar'!F:F)</f>
        <v>3245762.1083529252</v>
      </c>
      <c r="H619" s="1">
        <v>18000</v>
      </c>
      <c r="I619" s="1">
        <f>_xlfn.XLOOKUP($C619,'Plaza SP Tar'!$C:$C,'Plaza SP Tar'!G:G)</f>
        <v>3570338.3191882172</v>
      </c>
      <c r="J619" s="1">
        <v>25000</v>
      </c>
      <c r="K619" s="1">
        <f>_xlfn.XLOOKUP($C619,'Plaza SP Tar'!$C:$C,'Plaza SP Tar'!H:H)</f>
        <v>3894914.5300235096</v>
      </c>
      <c r="L619" s="1">
        <v>30000</v>
      </c>
      <c r="M619" s="1">
        <f>_xlfn.XLOOKUP($C619,'Plaza SP Tar'!$C:$C,'Plaza SP Tar'!I:I)</f>
        <v>4219490.7408588026</v>
      </c>
      <c r="N619" s="1">
        <v>40000</v>
      </c>
      <c r="O619" s="1">
        <f>_xlfn.XLOOKUP($C619,'Plaza SP Tar'!$C:$C,'Plaza SP Tar'!J:J)</f>
        <v>4544066.9516940946</v>
      </c>
      <c r="P619" s="1">
        <v>45000</v>
      </c>
      <c r="Q619" s="1">
        <f>_xlfn.XLOOKUP($C619,'Plaza SP Tar'!$C:$C,'Plaza SP Tar'!K:K)</f>
        <v>4868643.1625293875</v>
      </c>
      <c r="R619">
        <v>50000</v>
      </c>
    </row>
    <row r="620" spans="1:18" x14ac:dyDescent="0.25">
      <c r="A620" t="s">
        <v>608</v>
      </c>
      <c r="B620" t="s">
        <v>671</v>
      </c>
      <c r="C620" t="s">
        <v>674</v>
      </c>
      <c r="D620" s="1">
        <v>3542104</v>
      </c>
      <c r="E620" s="1">
        <f>_xlfn.XLOOKUP($C620,'Plaza SP Tar'!$C:$C,'Plaza SP Tar'!E:E)</f>
        <v>3866319.8843702851</v>
      </c>
      <c r="F620" s="1">
        <v>10000</v>
      </c>
      <c r="G620" s="1">
        <f>_xlfn.XLOOKUP($C620,'Plaza SP Tar'!$C:$C,'Plaza SP Tar'!F:F)</f>
        <v>4418651.2964231828</v>
      </c>
      <c r="H620" s="1">
        <v>18000</v>
      </c>
      <c r="I620" s="1">
        <f>_xlfn.XLOOKUP($C620,'Plaza SP Tar'!$C:$C,'Plaza SP Tar'!G:G)</f>
        <v>4860516.4260655008</v>
      </c>
      <c r="J620" s="1">
        <v>25000</v>
      </c>
      <c r="K620" s="1">
        <f>_xlfn.XLOOKUP($C620,'Plaza SP Tar'!$C:$C,'Plaza SP Tar'!H:H)</f>
        <v>5302381.5557078188</v>
      </c>
      <c r="L620" s="1">
        <v>30000</v>
      </c>
      <c r="M620" s="1">
        <f>_xlfn.XLOOKUP($C620,'Plaza SP Tar'!$C:$C,'Plaza SP Tar'!I:I)</f>
        <v>5744246.6853501378</v>
      </c>
      <c r="N620" s="1">
        <v>40000</v>
      </c>
      <c r="O620" s="1">
        <f>_xlfn.XLOOKUP($C620,'Plaza SP Tar'!$C:$C,'Plaza SP Tar'!J:J)</f>
        <v>6186111.8149924548</v>
      </c>
      <c r="P620" s="1">
        <v>45000</v>
      </c>
      <c r="Q620" s="1">
        <f>_xlfn.XLOOKUP($C620,'Plaza SP Tar'!$C:$C,'Plaza SP Tar'!K:K)</f>
        <v>6627976.9446347738</v>
      </c>
      <c r="R620">
        <v>50000</v>
      </c>
    </row>
    <row r="621" spans="1:18" x14ac:dyDescent="0.25">
      <c r="A621" t="s">
        <v>608</v>
      </c>
      <c r="B621" t="s">
        <v>671</v>
      </c>
      <c r="C621" t="s">
        <v>675</v>
      </c>
      <c r="D621" s="1">
        <v>5218930</v>
      </c>
      <c r="E621" s="1">
        <f>_xlfn.XLOOKUP($C621,'Plaza SP Tar'!$C:$C,'Plaza SP Tar'!E:E)</f>
        <v>5696629.1317636669</v>
      </c>
      <c r="F621" s="1">
        <v>10000</v>
      </c>
      <c r="G621" s="1">
        <f>_xlfn.XLOOKUP($C621,'Plaza SP Tar'!$C:$C,'Plaza SP Tar'!F:F)</f>
        <v>6510433.2934441902</v>
      </c>
      <c r="H621" s="1">
        <v>18000</v>
      </c>
      <c r="I621" s="1">
        <f>_xlfn.XLOOKUP($C621,'Plaza SP Tar'!$C:$C,'Plaza SP Tar'!G:G)</f>
        <v>7161476.622788609</v>
      </c>
      <c r="J621" s="1">
        <v>25000</v>
      </c>
      <c r="K621" s="1">
        <f>_xlfn.XLOOKUP($C621,'Plaza SP Tar'!$C:$C,'Plaza SP Tar'!H:H)</f>
        <v>7812519.9521330278</v>
      </c>
      <c r="L621" s="1">
        <v>30000</v>
      </c>
      <c r="M621" s="1">
        <f>_xlfn.XLOOKUP($C621,'Plaza SP Tar'!$C:$C,'Plaza SP Tar'!I:I)</f>
        <v>8463563.2814774476</v>
      </c>
      <c r="N621" s="1">
        <v>40000</v>
      </c>
      <c r="O621" s="1">
        <f>_xlfn.XLOOKUP($C621,'Plaza SP Tar'!$C:$C,'Plaza SP Tar'!J:J)</f>
        <v>9114606.6108218655</v>
      </c>
      <c r="P621" s="1">
        <v>45000</v>
      </c>
      <c r="Q621" s="1">
        <f>_xlfn.XLOOKUP($C621,'Plaza SP Tar'!$C:$C,'Plaza SP Tar'!K:K)</f>
        <v>9765649.9401662853</v>
      </c>
      <c r="R621">
        <v>50000</v>
      </c>
    </row>
    <row r="622" spans="1:18" x14ac:dyDescent="0.25">
      <c r="A622" t="s">
        <v>608</v>
      </c>
      <c r="B622" t="s">
        <v>671</v>
      </c>
      <c r="C622" t="s">
        <v>676</v>
      </c>
      <c r="D622" s="1">
        <v>4720154</v>
      </c>
      <c r="E622" s="1">
        <f>_xlfn.XLOOKUP($C622,'Plaza SP Tar'!$C:$C,'Plaza SP Tar'!E:E)</f>
        <v>5152199.1639686292</v>
      </c>
      <c r="F622" s="1">
        <v>10000</v>
      </c>
      <c r="G622" s="1">
        <f>_xlfn.XLOOKUP($C622,'Plaza SP Tar'!$C:$C,'Plaza SP Tar'!F:F)</f>
        <v>5888227.6159641482</v>
      </c>
      <c r="H622" s="1">
        <v>18000</v>
      </c>
      <c r="I622" s="1">
        <f>_xlfn.XLOOKUP($C622,'Plaza SP Tar'!$C:$C,'Plaza SP Tar'!G:G)</f>
        <v>6477050.3775605615</v>
      </c>
      <c r="J622" s="1">
        <v>25000</v>
      </c>
      <c r="K622" s="1">
        <f>_xlfn.XLOOKUP($C622,'Plaza SP Tar'!$C:$C,'Plaza SP Tar'!H:H)</f>
        <v>7065873.1391569767</v>
      </c>
      <c r="L622" s="1">
        <v>30000</v>
      </c>
      <c r="M622" s="1">
        <f>_xlfn.XLOOKUP($C622,'Plaza SP Tar'!$C:$C,'Plaza SP Tar'!I:I)</f>
        <v>7654695.9007533919</v>
      </c>
      <c r="N622" s="1">
        <v>40000</v>
      </c>
      <c r="O622" s="1">
        <f>_xlfn.XLOOKUP($C622,'Plaza SP Tar'!$C:$C,'Plaza SP Tar'!J:J)</f>
        <v>8243518.6623498062</v>
      </c>
      <c r="P622" s="1">
        <v>45000</v>
      </c>
      <c r="Q622" s="1">
        <f>_xlfn.XLOOKUP($C622,'Plaza SP Tar'!$C:$C,'Plaza SP Tar'!K:K)</f>
        <v>8832341.4239462204</v>
      </c>
      <c r="R622">
        <v>50000</v>
      </c>
    </row>
    <row r="623" spans="1:18" x14ac:dyDescent="0.25">
      <c r="A623" t="s">
        <v>608</v>
      </c>
      <c r="B623" t="s">
        <v>671</v>
      </c>
      <c r="C623" t="s">
        <v>677</v>
      </c>
      <c r="D623" s="1">
        <v>8132443</v>
      </c>
      <c r="E623" s="1">
        <f>_xlfn.XLOOKUP($C623,'Plaza SP Tar'!$C:$C,'Plaza SP Tar'!E:E)</f>
        <v>8876821.8209877331</v>
      </c>
      <c r="F623" s="1">
        <v>10000</v>
      </c>
      <c r="G623" s="1">
        <f>_xlfn.XLOOKUP($C623,'Plaza SP Tar'!$C:$C,'Plaza SP Tar'!F:F)</f>
        <v>10144939.223985981</v>
      </c>
      <c r="H623" s="1">
        <v>18000</v>
      </c>
      <c r="I623" s="1">
        <f>_xlfn.XLOOKUP($C623,'Plaza SP Tar'!$C:$C,'Plaza SP Tar'!G:G)</f>
        <v>11159433.146384578</v>
      </c>
      <c r="J623" s="1">
        <v>25000</v>
      </c>
      <c r="K623" s="1">
        <f>_xlfn.XLOOKUP($C623,'Plaza SP Tar'!$C:$C,'Plaza SP Tar'!H:H)</f>
        <v>12173927.068783175</v>
      </c>
      <c r="L623" s="1">
        <v>30000</v>
      </c>
      <c r="M623" s="1">
        <f>_xlfn.XLOOKUP($C623,'Plaza SP Tar'!$C:$C,'Plaza SP Tar'!I:I)</f>
        <v>13188420.991181774</v>
      </c>
      <c r="N623" s="1">
        <v>40000</v>
      </c>
      <c r="O623" s="1">
        <f>_xlfn.XLOOKUP($C623,'Plaza SP Tar'!$C:$C,'Plaza SP Tar'!J:J)</f>
        <v>14202914.913580371</v>
      </c>
      <c r="P623" s="1">
        <v>45000</v>
      </c>
      <c r="Q623" s="1">
        <f>_xlfn.XLOOKUP($C623,'Plaza SP Tar'!$C:$C,'Plaza SP Tar'!K:K)</f>
        <v>15217408.83597897</v>
      </c>
      <c r="R623">
        <v>50000</v>
      </c>
    </row>
    <row r="624" spans="1:18" x14ac:dyDescent="0.25">
      <c r="A624" t="s">
        <v>608</v>
      </c>
      <c r="B624" t="s">
        <v>671</v>
      </c>
      <c r="C624" t="s">
        <v>678</v>
      </c>
      <c r="D624" s="1">
        <v>4615768</v>
      </c>
      <c r="E624" s="1">
        <f>_xlfn.XLOOKUP($C624,'Plaza SP Tar'!$C:$C,'Plaza SP Tar'!E:E)</f>
        <v>5038258.5039965119</v>
      </c>
      <c r="F624" s="1">
        <v>10000</v>
      </c>
      <c r="G624" s="1">
        <f>_xlfn.XLOOKUP($C624,'Plaza SP Tar'!$C:$C,'Plaza SP Tar'!F:F)</f>
        <v>5758009.718853157</v>
      </c>
      <c r="H624" s="1">
        <v>18000</v>
      </c>
      <c r="I624" s="1">
        <f>_xlfn.XLOOKUP($C624,'Plaza SP Tar'!$C:$C,'Plaza SP Tar'!G:G)</f>
        <v>6333810.6907384712</v>
      </c>
      <c r="J624" s="1">
        <v>25000</v>
      </c>
      <c r="K624" s="1">
        <f>_xlfn.XLOOKUP($C624,'Plaza SP Tar'!$C:$C,'Plaza SP Tar'!H:H)</f>
        <v>6909611.6626237873</v>
      </c>
      <c r="L624" s="1">
        <v>30000</v>
      </c>
      <c r="M624" s="1">
        <f>_xlfn.XLOOKUP($C624,'Plaza SP Tar'!$C:$C,'Plaza SP Tar'!I:I)</f>
        <v>7485412.6345091034</v>
      </c>
      <c r="N624" s="1">
        <v>40000</v>
      </c>
      <c r="O624" s="1">
        <f>_xlfn.XLOOKUP($C624,'Plaza SP Tar'!$C:$C,'Plaza SP Tar'!J:J)</f>
        <v>8061213.6063944185</v>
      </c>
      <c r="P624" s="1">
        <v>45000</v>
      </c>
      <c r="Q624" s="1">
        <f>_xlfn.XLOOKUP($C624,'Plaza SP Tar'!$C:$C,'Plaza SP Tar'!K:K)</f>
        <v>8637014.5782797337</v>
      </c>
      <c r="R624">
        <v>50000</v>
      </c>
    </row>
    <row r="625" spans="1:18" x14ac:dyDescent="0.25">
      <c r="A625" t="s">
        <v>608</v>
      </c>
      <c r="B625" t="s">
        <v>671</v>
      </c>
      <c r="C625" t="s">
        <v>679</v>
      </c>
      <c r="D625" s="1">
        <v>1700001</v>
      </c>
      <c r="E625" s="1">
        <f>_xlfn.XLOOKUP($C625,'Plaza SP Tar'!$C:$C,'Plaza SP Tar'!E:E)</f>
        <v>1855605.5016310557</v>
      </c>
      <c r="F625" s="1">
        <v>10000</v>
      </c>
      <c r="G625" s="1">
        <f>_xlfn.XLOOKUP($C625,'Plaza SP Tar'!$C:$C,'Plaza SP Tar'!F:F)</f>
        <v>2120692.0018640636</v>
      </c>
      <c r="H625" s="1">
        <v>18000</v>
      </c>
      <c r="I625" s="1">
        <f>_xlfn.XLOOKUP($C625,'Plaza SP Tar'!$C:$C,'Plaza SP Tar'!G:G)</f>
        <v>2332761.2020504698</v>
      </c>
      <c r="J625" s="1">
        <v>25000</v>
      </c>
      <c r="K625" s="1">
        <f>_xlfn.XLOOKUP($C625,'Plaza SP Tar'!$C:$C,'Plaza SP Tar'!H:H)</f>
        <v>2544830.4022368761</v>
      </c>
      <c r="L625" s="1">
        <v>30000</v>
      </c>
      <c r="M625" s="1">
        <f>_xlfn.XLOOKUP($C625,'Plaza SP Tar'!$C:$C,'Plaza SP Tar'!I:I)</f>
        <v>2756899.6024232828</v>
      </c>
      <c r="N625" s="1">
        <v>40000</v>
      </c>
      <c r="O625" s="1">
        <f>_xlfn.XLOOKUP($C625,'Plaza SP Tar'!$C:$C,'Plaza SP Tar'!J:J)</f>
        <v>2968968.8026096886</v>
      </c>
      <c r="P625" s="1">
        <v>45000</v>
      </c>
      <c r="Q625" s="1">
        <f>_xlfn.XLOOKUP($C625,'Plaza SP Tar'!$C:$C,'Plaza SP Tar'!K:K)</f>
        <v>3181038.0027960953</v>
      </c>
      <c r="R625">
        <v>50000</v>
      </c>
    </row>
    <row r="626" spans="1:18" x14ac:dyDescent="0.25">
      <c r="A626" t="s">
        <v>608</v>
      </c>
      <c r="B626" t="s">
        <v>671</v>
      </c>
      <c r="C626" t="s">
        <v>680</v>
      </c>
      <c r="D626" s="1">
        <v>3894289</v>
      </c>
      <c r="E626" s="1">
        <f>_xlfn.XLOOKUP($C626,'Plaza SP Tar'!$C:$C,'Plaza SP Tar'!E:E)</f>
        <v>4250741.0838824818</v>
      </c>
      <c r="F626" s="1">
        <v>10000</v>
      </c>
      <c r="G626" s="1">
        <f>_xlfn.XLOOKUP($C626,'Plaza SP Tar'!$C:$C,'Plaza SP Tar'!F:F)</f>
        <v>4857989.8101514075</v>
      </c>
      <c r="H626" s="1">
        <v>18000</v>
      </c>
      <c r="I626" s="1">
        <f>_xlfn.XLOOKUP($C626,'Plaza SP Tar'!$C:$C,'Plaza SP Tar'!G:G)</f>
        <v>5343788.7911665477</v>
      </c>
      <c r="J626" s="1">
        <v>25000</v>
      </c>
      <c r="K626" s="1">
        <f>_xlfn.XLOOKUP($C626,'Plaza SP Tar'!$C:$C,'Plaza SP Tar'!H:H)</f>
        <v>5829587.7721816879</v>
      </c>
      <c r="L626" s="1">
        <v>30000</v>
      </c>
      <c r="M626" s="1">
        <f>_xlfn.XLOOKUP($C626,'Plaza SP Tar'!$C:$C,'Plaza SP Tar'!I:I)</f>
        <v>6315386.753196829</v>
      </c>
      <c r="N626" s="1">
        <v>40000</v>
      </c>
      <c r="O626" s="1">
        <f>_xlfn.XLOOKUP($C626,'Plaza SP Tar'!$C:$C,'Plaza SP Tar'!J:J)</f>
        <v>6801185.7342119692</v>
      </c>
      <c r="P626" s="1">
        <v>45000</v>
      </c>
      <c r="Q626" s="1">
        <f>_xlfn.XLOOKUP($C626,'Plaza SP Tar'!$C:$C,'Plaza SP Tar'!K:K)</f>
        <v>7286984.7152271103</v>
      </c>
      <c r="R626">
        <v>50000</v>
      </c>
    </row>
    <row r="627" spans="1:18" x14ac:dyDescent="0.25">
      <c r="A627" t="s">
        <v>608</v>
      </c>
      <c r="B627" t="s">
        <v>671</v>
      </c>
      <c r="C627" t="s">
        <v>681</v>
      </c>
      <c r="D627" s="1">
        <v>5234938</v>
      </c>
      <c r="E627" s="1">
        <f>_xlfn.XLOOKUP($C627,'Plaza SP Tar'!$C:$C,'Plaza SP Tar'!E:E)</f>
        <v>5714102.3761147643</v>
      </c>
      <c r="F627" s="1">
        <v>10000</v>
      </c>
      <c r="G627" s="1">
        <f>_xlfn.XLOOKUP($C627,'Plaza SP Tar'!$C:$C,'Plaza SP Tar'!F:F)</f>
        <v>6530402.7155597303</v>
      </c>
      <c r="H627" s="1">
        <v>18000</v>
      </c>
      <c r="I627" s="1">
        <f>_xlfn.XLOOKUP($C627,'Plaza SP Tar'!$C:$C,'Plaza SP Tar'!G:G)</f>
        <v>7183442.9871157026</v>
      </c>
      <c r="J627" s="1">
        <v>25000</v>
      </c>
      <c r="K627" s="1">
        <f>_xlfn.XLOOKUP($C627,'Plaza SP Tar'!$C:$C,'Plaza SP Tar'!H:H)</f>
        <v>7836483.2586716758</v>
      </c>
      <c r="L627" s="1">
        <v>30000</v>
      </c>
      <c r="M627" s="1">
        <f>_xlfn.XLOOKUP($C627,'Plaza SP Tar'!$C:$C,'Plaza SP Tar'!I:I)</f>
        <v>8489523.53022765</v>
      </c>
      <c r="N627" s="1">
        <v>40000</v>
      </c>
      <c r="O627" s="1">
        <f>_xlfn.XLOOKUP($C627,'Plaza SP Tar'!$C:$C,'Plaza SP Tar'!J:J)</f>
        <v>9142563.8017836213</v>
      </c>
      <c r="P627" s="1">
        <v>45000</v>
      </c>
      <c r="Q627" s="1">
        <f>_xlfn.XLOOKUP($C627,'Plaza SP Tar'!$C:$C,'Plaza SP Tar'!K:K)</f>
        <v>9795604.0733395945</v>
      </c>
      <c r="R627">
        <v>50000</v>
      </c>
    </row>
    <row r="628" spans="1:18" x14ac:dyDescent="0.25">
      <c r="A628" t="s">
        <v>608</v>
      </c>
      <c r="B628" t="s">
        <v>671</v>
      </c>
      <c r="C628" t="s">
        <v>682</v>
      </c>
      <c r="D628" s="1">
        <v>9847497</v>
      </c>
      <c r="E628" s="1">
        <f>_xlfn.XLOOKUP($C628,'Plaza SP Tar'!$C:$C,'Plaza SP Tar'!E:E)</f>
        <v>10748858.153904213</v>
      </c>
      <c r="F628" s="1">
        <v>10000</v>
      </c>
      <c r="G628" s="1">
        <f>_xlfn.XLOOKUP($C628,'Plaza SP Tar'!$C:$C,'Plaza SP Tar'!F:F)</f>
        <v>12284409.318747671</v>
      </c>
      <c r="H628" s="1">
        <v>18000</v>
      </c>
      <c r="I628" s="1">
        <f>_xlfn.XLOOKUP($C628,'Plaza SP Tar'!$C:$C,'Plaza SP Tar'!G:G)</f>
        <v>13512850.250622438</v>
      </c>
      <c r="J628" s="1">
        <v>25000</v>
      </c>
      <c r="K628" s="1">
        <f>_xlfn.XLOOKUP($C628,'Plaza SP Tar'!$C:$C,'Plaza SP Tar'!H:H)</f>
        <v>14741291.182497205</v>
      </c>
      <c r="L628" s="1">
        <v>30000</v>
      </c>
      <c r="M628" s="1">
        <f>_xlfn.XLOOKUP($C628,'Plaza SP Tar'!$C:$C,'Plaza SP Tar'!I:I)</f>
        <v>15969732.114371972</v>
      </c>
      <c r="N628" s="1">
        <v>40000</v>
      </c>
      <c r="O628" s="1">
        <f>_xlfn.XLOOKUP($C628,'Plaza SP Tar'!$C:$C,'Plaza SP Tar'!J:J)</f>
        <v>17198173.046246737</v>
      </c>
      <c r="P628" s="1">
        <v>45000</v>
      </c>
      <c r="Q628" s="1">
        <f>_xlfn.XLOOKUP($C628,'Plaza SP Tar'!$C:$C,'Plaza SP Tar'!K:K)</f>
        <v>18426613.978121508</v>
      </c>
      <c r="R628">
        <v>50000</v>
      </c>
    </row>
    <row r="629" spans="1:18" x14ac:dyDescent="0.25">
      <c r="A629" t="s">
        <v>608</v>
      </c>
      <c r="B629" t="s">
        <v>671</v>
      </c>
      <c r="C629" t="s">
        <v>683</v>
      </c>
      <c r="D629" s="1">
        <v>10316889</v>
      </c>
      <c r="E629" s="1">
        <f>_xlfn.XLOOKUP($C629,'Plaza SP Tar'!$C:$C,'Plaza SP Tar'!E:E)</f>
        <v>11261214.545236692</v>
      </c>
      <c r="F629" s="1">
        <v>10000</v>
      </c>
      <c r="G629" s="1">
        <f>_xlfn.XLOOKUP($C629,'Plaza SP Tar'!$C:$C,'Plaza SP Tar'!F:F)</f>
        <v>12869959.480270505</v>
      </c>
      <c r="H629" s="1">
        <v>18000</v>
      </c>
      <c r="I629" s="1">
        <f>_xlfn.XLOOKUP($C629,'Plaza SP Tar'!$C:$C,'Plaza SP Tar'!G:G)</f>
        <v>14156955.428297553</v>
      </c>
      <c r="J629" s="1">
        <v>25000</v>
      </c>
      <c r="K629" s="1">
        <f>_xlfn.XLOOKUP($C629,'Plaza SP Tar'!$C:$C,'Plaza SP Tar'!H:H)</f>
        <v>15443951.376324603</v>
      </c>
      <c r="L629" s="1">
        <v>30000</v>
      </c>
      <c r="M629" s="1">
        <f>_xlfn.XLOOKUP($C629,'Plaza SP Tar'!$C:$C,'Plaza SP Tar'!I:I)</f>
        <v>16730947.324351655</v>
      </c>
      <c r="N629" s="1">
        <v>40000</v>
      </c>
      <c r="O629" s="1">
        <f>_xlfn.XLOOKUP($C629,'Plaza SP Tar'!$C:$C,'Plaza SP Tar'!J:J)</f>
        <v>18017943.272378705</v>
      </c>
      <c r="P629" s="1">
        <v>45000</v>
      </c>
      <c r="Q629" s="1">
        <f>_xlfn.XLOOKUP($C629,'Plaza SP Tar'!$C:$C,'Plaza SP Tar'!K:K)</f>
        <v>19304939.220405754</v>
      </c>
      <c r="R629">
        <v>50000</v>
      </c>
    </row>
    <row r="630" spans="1:18" x14ac:dyDescent="0.25">
      <c r="A630" t="s">
        <v>608</v>
      </c>
      <c r="B630" t="s">
        <v>671</v>
      </c>
      <c r="C630" t="s">
        <v>684</v>
      </c>
      <c r="D630" s="1">
        <v>12428744</v>
      </c>
      <c r="E630" s="1">
        <f>_xlfn.XLOOKUP($C630,'Plaza SP Tar'!$C:$C,'Plaza SP Tar'!E:E)</f>
        <v>13566371.869642414</v>
      </c>
      <c r="F630" s="1">
        <v>10000</v>
      </c>
      <c r="G630" s="1">
        <f>_xlfn.XLOOKUP($C630,'Plaza SP Tar'!$C:$C,'Plaza SP Tar'!F:F)</f>
        <v>15504424.993877044</v>
      </c>
      <c r="H630" s="1">
        <v>18000</v>
      </c>
      <c r="I630" s="1">
        <f>_xlfn.XLOOKUP($C630,'Plaza SP Tar'!$C:$C,'Plaza SP Tar'!G:G)</f>
        <v>17054867.493264746</v>
      </c>
      <c r="J630" s="1">
        <v>25000</v>
      </c>
      <c r="K630" s="1">
        <f>_xlfn.XLOOKUP($C630,'Plaza SP Tar'!$C:$C,'Plaza SP Tar'!H:H)</f>
        <v>18605309.992652453</v>
      </c>
      <c r="L630" s="1">
        <v>30000</v>
      </c>
      <c r="M630" s="1">
        <f>_xlfn.XLOOKUP($C630,'Plaza SP Tar'!$C:$C,'Plaza SP Tar'!I:I)</f>
        <v>20155752.492040157</v>
      </c>
      <c r="N630" s="1">
        <v>40000</v>
      </c>
      <c r="O630" s="1">
        <f>_xlfn.XLOOKUP($C630,'Plaza SP Tar'!$C:$C,'Plaza SP Tar'!J:J)</f>
        <v>21706194.991427861</v>
      </c>
      <c r="P630" s="1">
        <v>45000</v>
      </c>
      <c r="Q630" s="1">
        <f>_xlfn.XLOOKUP($C630,'Plaza SP Tar'!$C:$C,'Plaza SP Tar'!K:K)</f>
        <v>23256637.490815565</v>
      </c>
      <c r="R630">
        <v>50000</v>
      </c>
    </row>
    <row r="631" spans="1:18" x14ac:dyDescent="0.25">
      <c r="A631" t="s">
        <v>685</v>
      </c>
      <c r="B631" t="s">
        <v>686</v>
      </c>
      <c r="C631" t="s">
        <v>687</v>
      </c>
      <c r="D631" s="1">
        <v>3016122</v>
      </c>
      <c r="E631" s="1">
        <f>_xlfn.XLOOKUP($C631,'Plaza SP Tar'!$C:$C,'Plaza SP Tar'!E:E)</f>
        <v>3292193.6968216272</v>
      </c>
      <c r="F631" s="1">
        <v>10000</v>
      </c>
      <c r="G631" s="1">
        <f>_xlfn.XLOOKUP($C631,'Plaza SP Tar'!$C:$C,'Plaza SP Tar'!F:F)</f>
        <v>3762507.0820818595</v>
      </c>
      <c r="H631" s="1">
        <v>18000</v>
      </c>
      <c r="I631" s="1">
        <f>_xlfn.XLOOKUP($C631,'Plaza SP Tar'!$C:$C,'Plaza SP Tar'!G:G)</f>
        <v>4138757.7902900451</v>
      </c>
      <c r="J631" s="1">
        <v>25000</v>
      </c>
      <c r="K631" s="1">
        <f>_xlfn.XLOOKUP($C631,'Plaza SP Tar'!$C:$C,'Plaza SP Tar'!H:H)</f>
        <v>4515008.4984982312</v>
      </c>
      <c r="L631" s="1">
        <v>30000</v>
      </c>
      <c r="M631" s="1">
        <f>_xlfn.XLOOKUP($C631,'Plaza SP Tar'!$C:$C,'Plaza SP Tar'!I:I)</f>
        <v>4891259.2067064177</v>
      </c>
      <c r="N631" s="1">
        <v>40000</v>
      </c>
      <c r="O631" s="1">
        <f>_xlfn.XLOOKUP($C631,'Plaza SP Tar'!$C:$C,'Plaza SP Tar'!J:J)</f>
        <v>5267509.9149146024</v>
      </c>
      <c r="P631" s="1">
        <v>45000</v>
      </c>
      <c r="Q631" s="1">
        <f>_xlfn.XLOOKUP($C631,'Plaza SP Tar'!$C:$C,'Plaza SP Tar'!K:K)</f>
        <v>5643760.623122789</v>
      </c>
      <c r="R631">
        <v>50000</v>
      </c>
    </row>
    <row r="632" spans="1:18" x14ac:dyDescent="0.25">
      <c r="A632" t="s">
        <v>685</v>
      </c>
      <c r="B632" t="s">
        <v>686</v>
      </c>
      <c r="C632" t="s">
        <v>688</v>
      </c>
      <c r="D632" s="1">
        <v>5527149</v>
      </c>
      <c r="E632" s="1">
        <f>_xlfn.XLOOKUP($C632,'Plaza SP Tar'!$C:$C,'Plaza SP Tar'!E:E)</f>
        <v>6033060.0351026785</v>
      </c>
      <c r="F632" s="1">
        <v>10000</v>
      </c>
      <c r="G632" s="1">
        <f>_xlfn.XLOOKUP($C632,'Plaza SP Tar'!$C:$C,'Plaza SP Tar'!F:F)</f>
        <v>6894925.7544030603</v>
      </c>
      <c r="H632" s="1">
        <v>18000</v>
      </c>
      <c r="I632" s="1">
        <f>_xlfn.XLOOKUP($C632,'Plaza SP Tar'!$C:$C,'Plaza SP Tar'!G:G)</f>
        <v>7584418.3298433656</v>
      </c>
      <c r="J632" s="1">
        <v>25000</v>
      </c>
      <c r="K632" s="1">
        <f>_xlfn.XLOOKUP($C632,'Plaza SP Tar'!$C:$C,'Plaza SP Tar'!H:H)</f>
        <v>8273910.9052836718</v>
      </c>
      <c r="L632" s="1">
        <v>30000</v>
      </c>
      <c r="M632" s="1">
        <f>_xlfn.XLOOKUP($C632,'Plaza SP Tar'!$C:$C,'Plaza SP Tar'!I:I)</f>
        <v>8963403.480723979</v>
      </c>
      <c r="N632" s="1">
        <v>40000</v>
      </c>
      <c r="O632" s="1">
        <f>_xlfn.XLOOKUP($C632,'Plaza SP Tar'!$C:$C,'Plaza SP Tar'!J:J)</f>
        <v>9652896.0561642833</v>
      </c>
      <c r="P632" s="1">
        <v>45000</v>
      </c>
      <c r="Q632" s="1">
        <f>_xlfn.XLOOKUP($C632,'Plaza SP Tar'!$C:$C,'Plaza SP Tar'!K:K)</f>
        <v>10342388.63160459</v>
      </c>
      <c r="R632">
        <v>50000</v>
      </c>
    </row>
    <row r="633" spans="1:18" x14ac:dyDescent="0.25">
      <c r="A633" t="s">
        <v>685</v>
      </c>
      <c r="B633" t="s">
        <v>686</v>
      </c>
      <c r="C633" t="s">
        <v>689</v>
      </c>
      <c r="D633" s="1">
        <v>5659110</v>
      </c>
      <c r="E633" s="1">
        <f>_xlfn.XLOOKUP($C633,'Plaza SP Tar'!$C:$C,'Plaza SP Tar'!E:E)</f>
        <v>6177099.6901386082</v>
      </c>
      <c r="F633" s="1">
        <v>10000</v>
      </c>
      <c r="G633" s="1">
        <f>_xlfn.XLOOKUP($C633,'Plaza SP Tar'!$C:$C,'Plaza SP Tar'!F:F)</f>
        <v>7059542.5030155517</v>
      </c>
      <c r="H633" s="1">
        <v>18000</v>
      </c>
      <c r="I633" s="1">
        <f>_xlfn.XLOOKUP($C633,'Plaza SP Tar'!$C:$C,'Plaza SP Tar'!G:G)</f>
        <v>7765496.7533171056</v>
      </c>
      <c r="J633" s="1">
        <v>25000</v>
      </c>
      <c r="K633" s="1">
        <f>_xlfn.XLOOKUP($C633,'Plaza SP Tar'!$C:$C,'Plaza SP Tar'!H:H)</f>
        <v>8471451.0036186613</v>
      </c>
      <c r="L633" s="1">
        <v>30000</v>
      </c>
      <c r="M633" s="1">
        <f>_xlfn.XLOOKUP($C633,'Plaza SP Tar'!$C:$C,'Plaza SP Tar'!I:I)</f>
        <v>9177405.253920218</v>
      </c>
      <c r="N633" s="1">
        <v>40000</v>
      </c>
      <c r="O633" s="1">
        <f>_xlfn.XLOOKUP($C633,'Plaza SP Tar'!$C:$C,'Plaza SP Tar'!J:J)</f>
        <v>9883359.5042217709</v>
      </c>
      <c r="P633" s="1">
        <v>45000</v>
      </c>
      <c r="Q633" s="1">
        <f>_xlfn.XLOOKUP($C633,'Plaza SP Tar'!$C:$C,'Plaza SP Tar'!K:K)</f>
        <v>10589313.754523328</v>
      </c>
      <c r="R633">
        <v>50000</v>
      </c>
    </row>
    <row r="634" spans="1:18" x14ac:dyDescent="0.25">
      <c r="A634" t="s">
        <v>685</v>
      </c>
      <c r="B634" t="s">
        <v>686</v>
      </c>
      <c r="C634" t="s">
        <v>690</v>
      </c>
      <c r="D634" s="1">
        <v>2711413</v>
      </c>
      <c r="E634" s="1">
        <f>_xlfn.XLOOKUP($C634,'Plaza SP Tar'!$C:$C,'Plaza SP Tar'!E:E)</f>
        <v>2959594.0708234673</v>
      </c>
      <c r="F634" s="1">
        <v>10000</v>
      </c>
      <c r="G634" s="1">
        <f>_xlfn.XLOOKUP($C634,'Plaza SP Tar'!$C:$C,'Plaza SP Tar'!F:F)</f>
        <v>3382393.2237982485</v>
      </c>
      <c r="H634" s="1">
        <v>18000</v>
      </c>
      <c r="I634" s="1">
        <f>_xlfn.XLOOKUP($C634,'Plaza SP Tar'!$C:$C,'Plaza SP Tar'!G:G)</f>
        <v>3720632.5461780732</v>
      </c>
      <c r="J634" s="1">
        <v>25000</v>
      </c>
      <c r="K634" s="1">
        <f>_xlfn.XLOOKUP($C634,'Plaza SP Tar'!$C:$C,'Plaza SP Tar'!H:H)</f>
        <v>4058871.8685578979</v>
      </c>
      <c r="L634" s="1">
        <v>30000</v>
      </c>
      <c r="M634" s="1">
        <f>_xlfn.XLOOKUP($C634,'Plaza SP Tar'!$C:$C,'Plaza SP Tar'!I:I)</f>
        <v>4397111.190937723</v>
      </c>
      <c r="N634" s="1">
        <v>40000</v>
      </c>
      <c r="O634" s="1">
        <f>_xlfn.XLOOKUP($C634,'Plaza SP Tar'!$C:$C,'Plaza SP Tar'!J:J)</f>
        <v>4735350.5133175477</v>
      </c>
      <c r="P634" s="1">
        <v>45000</v>
      </c>
      <c r="Q634" s="1">
        <f>_xlfn.XLOOKUP($C634,'Plaza SP Tar'!$C:$C,'Plaza SP Tar'!K:K)</f>
        <v>5073589.8356973724</v>
      </c>
      <c r="R634">
        <v>50000</v>
      </c>
    </row>
    <row r="635" spans="1:18" x14ac:dyDescent="0.25">
      <c r="A635" t="s">
        <v>685</v>
      </c>
      <c r="B635" t="s">
        <v>686</v>
      </c>
      <c r="C635" t="s">
        <v>691</v>
      </c>
      <c r="D635" s="1">
        <v>9017586</v>
      </c>
      <c r="E635" s="1">
        <f>_xlfn.XLOOKUP($C635,'Plaza SP Tar'!$C:$C,'Plaza SP Tar'!E:E)</f>
        <v>9842983.7353220284</v>
      </c>
      <c r="F635" s="1">
        <v>10000</v>
      </c>
      <c r="G635" s="1">
        <f>_xlfn.XLOOKUP($C635,'Plaza SP Tar'!$C:$C,'Plaza SP Tar'!F:F)</f>
        <v>11249124.268939462</v>
      </c>
      <c r="H635" s="1">
        <v>18000</v>
      </c>
      <c r="I635" s="1">
        <f>_xlfn.XLOOKUP($C635,'Plaza SP Tar'!$C:$C,'Plaza SP Tar'!G:G)</f>
        <v>12374036.695833407</v>
      </c>
      <c r="J635" s="1">
        <v>25000</v>
      </c>
      <c r="K635" s="1">
        <f>_xlfn.XLOOKUP($C635,'Plaza SP Tar'!$C:$C,'Plaza SP Tar'!H:H)</f>
        <v>13498949.122727353</v>
      </c>
      <c r="L635" s="1">
        <v>30000</v>
      </c>
      <c r="M635" s="1">
        <f>_xlfn.XLOOKUP($C635,'Plaza SP Tar'!$C:$C,'Plaza SP Tar'!I:I)</f>
        <v>14623861.549621301</v>
      </c>
      <c r="N635" s="1">
        <v>40000</v>
      </c>
      <c r="O635" s="1">
        <f>_xlfn.XLOOKUP($C635,'Plaza SP Tar'!$C:$C,'Plaza SP Tar'!J:J)</f>
        <v>15748773.976515245</v>
      </c>
      <c r="P635" s="1">
        <v>45000</v>
      </c>
      <c r="Q635" s="1">
        <f>_xlfn.XLOOKUP($C635,'Plaza SP Tar'!$C:$C,'Plaza SP Tar'!K:K)</f>
        <v>16873686.40340919</v>
      </c>
      <c r="R635">
        <v>50000</v>
      </c>
    </row>
    <row r="636" spans="1:18" x14ac:dyDescent="0.25">
      <c r="A636" t="s">
        <v>685</v>
      </c>
      <c r="B636" t="s">
        <v>686</v>
      </c>
      <c r="C636" t="s">
        <v>692</v>
      </c>
      <c r="D636" s="1">
        <v>6374582</v>
      </c>
      <c r="E636" s="1">
        <f>_xlfn.XLOOKUP($C636,'Plaza SP Tar'!$C:$C,'Plaza SP Tar'!E:E)</f>
        <v>6958060.2774929535</v>
      </c>
      <c r="F636" s="1">
        <v>10000</v>
      </c>
      <c r="G636" s="1">
        <f>_xlfn.XLOOKUP($C636,'Plaza SP Tar'!$C:$C,'Plaza SP Tar'!F:F)</f>
        <v>7952068.888563375</v>
      </c>
      <c r="H636" s="1">
        <v>18000</v>
      </c>
      <c r="I636" s="1">
        <f>_xlfn.XLOOKUP($C636,'Plaza SP Tar'!$C:$C,'Plaza SP Tar'!G:G)</f>
        <v>8747275.7774197124</v>
      </c>
      <c r="J636" s="1">
        <v>25000</v>
      </c>
      <c r="K636" s="1">
        <f>_xlfn.XLOOKUP($C636,'Plaza SP Tar'!$C:$C,'Plaza SP Tar'!H:H)</f>
        <v>9542482.6662760489</v>
      </c>
      <c r="L636" s="1">
        <v>30000</v>
      </c>
      <c r="M636" s="1">
        <f>_xlfn.XLOOKUP($C636,'Plaza SP Tar'!$C:$C,'Plaza SP Tar'!I:I)</f>
        <v>10337689.555132387</v>
      </c>
      <c r="N636" s="1">
        <v>40000</v>
      </c>
      <c r="O636" s="1">
        <f>_xlfn.XLOOKUP($C636,'Plaza SP Tar'!$C:$C,'Plaza SP Tar'!J:J)</f>
        <v>11132896.443988724</v>
      </c>
      <c r="P636" s="1">
        <v>45000</v>
      </c>
      <c r="Q636" s="1">
        <f>_xlfn.XLOOKUP($C636,'Plaza SP Tar'!$C:$C,'Plaza SP Tar'!K:K)</f>
        <v>11928103.332845062</v>
      </c>
      <c r="R636">
        <v>50000</v>
      </c>
    </row>
    <row r="637" spans="1:18" x14ac:dyDescent="0.25">
      <c r="A637" t="s">
        <v>685</v>
      </c>
      <c r="B637" t="s">
        <v>686</v>
      </c>
      <c r="C637" t="s">
        <v>693</v>
      </c>
      <c r="D637" s="1">
        <v>5010047</v>
      </c>
      <c r="E637" s="1">
        <f>_xlfn.XLOOKUP($C637,'Plaza SP Tar'!$C:$C,'Plaza SP Tar'!E:E)</f>
        <v>5468626.6517667733</v>
      </c>
      <c r="F637" s="1">
        <v>10000</v>
      </c>
      <c r="G637" s="1">
        <f>_xlfn.XLOOKUP($C637,'Plaza SP Tar'!$C:$C,'Plaza SP Tar'!F:F)</f>
        <v>6249859.0305905975</v>
      </c>
      <c r="H637" s="1">
        <v>18000</v>
      </c>
      <c r="I637" s="1">
        <f>_xlfn.XLOOKUP($C637,'Plaza SP Tar'!$C:$C,'Plaza SP Tar'!G:G)</f>
        <v>6874844.9336496564</v>
      </c>
      <c r="J637" s="1">
        <v>25000</v>
      </c>
      <c r="K637" s="1">
        <f>_xlfn.XLOOKUP($C637,'Plaza SP Tar'!$C:$C,'Plaza SP Tar'!H:H)</f>
        <v>7499830.8367087161</v>
      </c>
      <c r="L637" s="1">
        <v>30000</v>
      </c>
      <c r="M637" s="1">
        <f>_xlfn.XLOOKUP($C637,'Plaza SP Tar'!$C:$C,'Plaza SP Tar'!I:I)</f>
        <v>8124816.7397677768</v>
      </c>
      <c r="N637" s="1">
        <v>40000</v>
      </c>
      <c r="O637" s="1">
        <f>_xlfn.XLOOKUP($C637,'Plaza SP Tar'!$C:$C,'Plaza SP Tar'!J:J)</f>
        <v>8749802.6428268347</v>
      </c>
      <c r="P637" s="1">
        <v>45000</v>
      </c>
      <c r="Q637" s="1">
        <f>_xlfn.XLOOKUP($C637,'Plaza SP Tar'!$C:$C,'Plaza SP Tar'!K:K)</f>
        <v>9374788.5458858963</v>
      </c>
      <c r="R637">
        <v>50000</v>
      </c>
    </row>
    <row r="638" spans="1:18" x14ac:dyDescent="0.25">
      <c r="A638" t="s">
        <v>685</v>
      </c>
      <c r="B638" t="s">
        <v>686</v>
      </c>
      <c r="C638" t="s">
        <v>694</v>
      </c>
      <c r="D638" s="1">
        <v>2815274</v>
      </c>
      <c r="E638" s="1">
        <f>_xlfn.XLOOKUP($C638,'Plaza SP Tar'!$C:$C,'Plaza SP Tar'!E:E)</f>
        <v>3072961.6764924661</v>
      </c>
      <c r="F638" s="1">
        <v>10000</v>
      </c>
      <c r="G638" s="1">
        <f>_xlfn.XLOOKUP($C638,'Plaza SP Tar'!$C:$C,'Plaza SP Tar'!F:F)</f>
        <v>3511956.2017056751</v>
      </c>
      <c r="H638" s="1">
        <v>18000</v>
      </c>
      <c r="I638" s="1">
        <f>_xlfn.XLOOKUP($C638,'Plaza SP Tar'!$C:$C,'Plaza SP Tar'!G:G)</f>
        <v>3863151.8218762423</v>
      </c>
      <c r="J638" s="1">
        <v>25000</v>
      </c>
      <c r="K638" s="1">
        <f>_xlfn.XLOOKUP($C638,'Plaza SP Tar'!$C:$C,'Plaza SP Tar'!H:H)</f>
        <v>4214347.4420468099</v>
      </c>
      <c r="L638" s="1">
        <v>30000</v>
      </c>
      <c r="M638" s="1">
        <f>_xlfn.XLOOKUP($C638,'Plaza SP Tar'!$C:$C,'Plaza SP Tar'!I:I)</f>
        <v>4565543.0622173781</v>
      </c>
      <c r="N638" s="1">
        <v>40000</v>
      </c>
      <c r="O638" s="1">
        <f>_xlfn.XLOOKUP($C638,'Plaza SP Tar'!$C:$C,'Plaza SP Tar'!J:J)</f>
        <v>4916738.6823879452</v>
      </c>
      <c r="P638" s="1">
        <v>45000</v>
      </c>
      <c r="Q638" s="1">
        <f>_xlfn.XLOOKUP($C638,'Plaza SP Tar'!$C:$C,'Plaza SP Tar'!K:K)</f>
        <v>5267934.3025585124</v>
      </c>
      <c r="R638">
        <v>50000</v>
      </c>
    </row>
    <row r="639" spans="1:18" x14ac:dyDescent="0.25">
      <c r="A639" t="s">
        <v>685</v>
      </c>
      <c r="B639" t="s">
        <v>686</v>
      </c>
      <c r="C639" t="s">
        <v>695</v>
      </c>
      <c r="D639" s="1">
        <v>3707122</v>
      </c>
      <c r="E639" s="1">
        <f>_xlfn.XLOOKUP($C639,'Plaza SP Tar'!$C:$C,'Plaza SP Tar'!E:E)</f>
        <v>4046442.3129265937</v>
      </c>
      <c r="F639" s="1">
        <v>10000</v>
      </c>
      <c r="G639" s="1">
        <f>_xlfn.XLOOKUP($C639,'Plaza SP Tar'!$C:$C,'Plaza SP Tar'!F:F)</f>
        <v>4624505.5004875353</v>
      </c>
      <c r="H639" s="1">
        <v>18000</v>
      </c>
      <c r="I639" s="1">
        <f>_xlfn.XLOOKUP($C639,'Plaza SP Tar'!$C:$C,'Plaza SP Tar'!G:G)</f>
        <v>5086956.0505362889</v>
      </c>
      <c r="J639" s="1">
        <v>25000</v>
      </c>
      <c r="K639" s="1">
        <f>_xlfn.XLOOKUP($C639,'Plaza SP Tar'!$C:$C,'Plaza SP Tar'!H:H)</f>
        <v>5549406.6005850425</v>
      </c>
      <c r="L639" s="1">
        <v>30000</v>
      </c>
      <c r="M639" s="1">
        <f>_xlfn.XLOOKUP($C639,'Plaza SP Tar'!$C:$C,'Plaza SP Tar'!I:I)</f>
        <v>6011857.1506337961</v>
      </c>
      <c r="N639" s="1">
        <v>40000</v>
      </c>
      <c r="O639" s="1">
        <f>_xlfn.XLOOKUP($C639,'Plaza SP Tar'!$C:$C,'Plaza SP Tar'!J:J)</f>
        <v>6474307.7006825497</v>
      </c>
      <c r="P639" s="1">
        <v>45000</v>
      </c>
      <c r="Q639" s="1">
        <f>_xlfn.XLOOKUP($C639,'Plaza SP Tar'!$C:$C,'Plaza SP Tar'!K:K)</f>
        <v>6936758.2507313034</v>
      </c>
      <c r="R639">
        <v>50000</v>
      </c>
    </row>
    <row r="640" spans="1:18" x14ac:dyDescent="0.25">
      <c r="A640" t="s">
        <v>685</v>
      </c>
      <c r="B640" t="s">
        <v>686</v>
      </c>
      <c r="C640" t="s">
        <v>696</v>
      </c>
      <c r="D640" s="1">
        <v>2130385</v>
      </c>
      <c r="E640" s="1">
        <f>_xlfn.XLOOKUP($C640,'Plaza SP Tar'!$C:$C,'Plaza SP Tar'!E:E)</f>
        <v>2325383.4124758025</v>
      </c>
      <c r="F640" s="1">
        <v>10000</v>
      </c>
      <c r="G640" s="1">
        <f>_xlfn.XLOOKUP($C640,'Plaza SP Tar'!$C:$C,'Plaza SP Tar'!F:F)</f>
        <v>2657581.0428294884</v>
      </c>
      <c r="H640" s="1">
        <v>18000</v>
      </c>
      <c r="I640" s="1">
        <f>_xlfn.XLOOKUP($C640,'Plaza SP Tar'!$C:$C,'Plaza SP Tar'!G:G)</f>
        <v>2923339.1471124371</v>
      </c>
      <c r="J640" s="1">
        <v>25000</v>
      </c>
      <c r="K640" s="1">
        <f>_xlfn.XLOOKUP($C640,'Plaza SP Tar'!$C:$C,'Plaza SP Tar'!H:H)</f>
        <v>3189097.2513953857</v>
      </c>
      <c r="L640" s="1">
        <v>30000</v>
      </c>
      <c r="M640" s="1">
        <f>_xlfn.XLOOKUP($C640,'Plaza SP Tar'!$C:$C,'Plaza SP Tar'!I:I)</f>
        <v>3454855.3556783348</v>
      </c>
      <c r="N640" s="1">
        <v>40000</v>
      </c>
      <c r="O640" s="1">
        <f>_xlfn.XLOOKUP($C640,'Plaza SP Tar'!$C:$C,'Plaza SP Tar'!J:J)</f>
        <v>3720613.4599612835</v>
      </c>
      <c r="P640" s="1">
        <v>45000</v>
      </c>
      <c r="Q640" s="1">
        <f>_xlfn.XLOOKUP($C640,'Plaza SP Tar'!$C:$C,'Plaza SP Tar'!K:K)</f>
        <v>3986371.5642442321</v>
      </c>
      <c r="R640">
        <v>50000</v>
      </c>
    </row>
    <row r="641" spans="1:18" x14ac:dyDescent="0.25">
      <c r="A641" t="s">
        <v>685</v>
      </c>
      <c r="B641" t="s">
        <v>686</v>
      </c>
      <c r="C641" t="s">
        <v>697</v>
      </c>
      <c r="D641" s="1">
        <v>5299508</v>
      </c>
      <c r="E641" s="1">
        <f>_xlfn.XLOOKUP($C641,'Plaza SP Tar'!$C:$C,'Plaza SP Tar'!E:E)</f>
        <v>5784582.5977383498</v>
      </c>
      <c r="F641" s="1">
        <v>10000</v>
      </c>
      <c r="G641" s="1">
        <f>_xlfn.XLOOKUP($C641,'Plaza SP Tar'!$C:$C,'Plaza SP Tar'!F:F)</f>
        <v>6610951.5402723998</v>
      </c>
      <c r="H641" s="1">
        <v>18000</v>
      </c>
      <c r="I641" s="1">
        <f>_xlfn.XLOOKUP($C641,'Plaza SP Tar'!$C:$C,'Plaza SP Tar'!G:G)</f>
        <v>7272046.6942996392</v>
      </c>
      <c r="J641" s="1">
        <v>25000</v>
      </c>
      <c r="K641" s="1">
        <f>_xlfn.XLOOKUP($C641,'Plaza SP Tar'!$C:$C,'Plaza SP Tar'!H:H)</f>
        <v>7933141.8483268796</v>
      </c>
      <c r="L641" s="1">
        <v>30000</v>
      </c>
      <c r="M641" s="1">
        <f>_xlfn.XLOOKUP($C641,'Plaza SP Tar'!$C:$C,'Plaza SP Tar'!I:I)</f>
        <v>8594237.002354119</v>
      </c>
      <c r="N641" s="1">
        <v>40000</v>
      </c>
      <c r="O641" s="1">
        <f>_xlfn.XLOOKUP($C641,'Plaza SP Tar'!$C:$C,'Plaza SP Tar'!J:J)</f>
        <v>9255332.1563813593</v>
      </c>
      <c r="P641" s="1">
        <v>45000</v>
      </c>
      <c r="Q641" s="1">
        <f>_xlfn.XLOOKUP($C641,'Plaza SP Tar'!$C:$C,'Plaza SP Tar'!K:K)</f>
        <v>9916427.3104085997</v>
      </c>
      <c r="R641">
        <v>50000</v>
      </c>
    </row>
    <row r="642" spans="1:18" x14ac:dyDescent="0.25">
      <c r="A642" t="s">
        <v>685</v>
      </c>
      <c r="B642" t="s">
        <v>686</v>
      </c>
      <c r="C642" t="s">
        <v>698</v>
      </c>
      <c r="D642" s="1">
        <v>4597743</v>
      </c>
      <c r="E642" s="1">
        <f>_xlfn.XLOOKUP($C642,'Plaza SP Tar'!$C:$C,'Plaza SP Tar'!E:E)</f>
        <v>5018583.6395894326</v>
      </c>
      <c r="F642" s="1">
        <v>10000</v>
      </c>
      <c r="G642" s="1">
        <f>_xlfn.XLOOKUP($C642,'Plaza SP Tar'!$C:$C,'Plaza SP Tar'!F:F)</f>
        <v>5735524.1595307803</v>
      </c>
      <c r="H642" s="1">
        <v>18000</v>
      </c>
      <c r="I642" s="1">
        <f>_xlfn.XLOOKUP($C642,'Plaza SP Tar'!$C:$C,'Plaza SP Tar'!G:G)</f>
        <v>6309076.5754838567</v>
      </c>
      <c r="J642" s="1">
        <v>25000</v>
      </c>
      <c r="K642" s="1">
        <f>_xlfn.XLOOKUP($C642,'Plaza SP Tar'!$C:$C,'Plaza SP Tar'!H:H)</f>
        <v>6882628.991436935</v>
      </c>
      <c r="L642" s="1">
        <v>30000</v>
      </c>
      <c r="M642" s="1">
        <f>_xlfn.XLOOKUP($C642,'Plaza SP Tar'!$C:$C,'Plaza SP Tar'!I:I)</f>
        <v>7456181.4073900133</v>
      </c>
      <c r="N642" s="1">
        <v>40000</v>
      </c>
      <c r="O642" s="1">
        <f>_xlfn.XLOOKUP($C642,'Plaza SP Tar'!$C:$C,'Plaza SP Tar'!J:J)</f>
        <v>8029733.8233430907</v>
      </c>
      <c r="P642" s="1">
        <v>45000</v>
      </c>
      <c r="Q642" s="1">
        <f>_xlfn.XLOOKUP($C642,'Plaza SP Tar'!$C:$C,'Plaza SP Tar'!K:K)</f>
        <v>8603286.23929617</v>
      </c>
      <c r="R642">
        <v>50000</v>
      </c>
    </row>
    <row r="643" spans="1:18" x14ac:dyDescent="0.25">
      <c r="A643" t="s">
        <v>685</v>
      </c>
      <c r="B643" t="s">
        <v>686</v>
      </c>
      <c r="C643" t="s">
        <v>699</v>
      </c>
      <c r="D643" s="1">
        <v>5190092</v>
      </c>
      <c r="E643" s="1">
        <f>_xlfn.XLOOKUP($C643,'Plaza SP Tar'!$C:$C,'Plaza SP Tar'!E:E)</f>
        <v>5665151.5317763509</v>
      </c>
      <c r="F643" s="1">
        <v>10000</v>
      </c>
      <c r="G643" s="1">
        <f>_xlfn.XLOOKUP($C643,'Plaza SP Tar'!$C:$C,'Plaza SP Tar'!F:F)</f>
        <v>6474458.8934586868</v>
      </c>
      <c r="H643" s="1">
        <v>18000</v>
      </c>
      <c r="I643" s="1">
        <f>_xlfn.XLOOKUP($C643,'Plaza SP Tar'!$C:$C,'Plaza SP Tar'!G:G)</f>
        <v>7121904.7828045553</v>
      </c>
      <c r="J643" s="1">
        <v>25000</v>
      </c>
      <c r="K643" s="1">
        <f>_xlfn.XLOOKUP($C643,'Plaza SP Tar'!$C:$C,'Plaza SP Tar'!H:H)</f>
        <v>7769350.6721504238</v>
      </c>
      <c r="L643" s="1">
        <v>30000</v>
      </c>
      <c r="M643" s="1">
        <f>_xlfn.XLOOKUP($C643,'Plaza SP Tar'!$C:$C,'Plaza SP Tar'!I:I)</f>
        <v>8416796.5614962932</v>
      </c>
      <c r="N643" s="1">
        <v>40000</v>
      </c>
      <c r="O643" s="1">
        <f>_xlfn.XLOOKUP($C643,'Plaza SP Tar'!$C:$C,'Plaza SP Tar'!J:J)</f>
        <v>9064242.4508421607</v>
      </c>
      <c r="P643" s="1">
        <v>45000</v>
      </c>
      <c r="Q643" s="1">
        <f>_xlfn.XLOOKUP($C643,'Plaza SP Tar'!$C:$C,'Plaza SP Tar'!K:K)</f>
        <v>9711688.3401880302</v>
      </c>
      <c r="R643">
        <v>50000</v>
      </c>
    </row>
    <row r="644" spans="1:18" x14ac:dyDescent="0.25">
      <c r="A644" t="s">
        <v>685</v>
      </c>
      <c r="B644" t="s">
        <v>686</v>
      </c>
      <c r="C644" t="s">
        <v>700</v>
      </c>
      <c r="D644" s="1">
        <v>3389817</v>
      </c>
      <c r="E644" s="1">
        <f>_xlfn.XLOOKUP($C644,'Plaza SP Tar'!$C:$C,'Plaza SP Tar'!E:E)</f>
        <v>3700093.7497816063</v>
      </c>
      <c r="F644" s="1">
        <v>10000</v>
      </c>
      <c r="G644" s="1">
        <f>_xlfn.XLOOKUP($C644,'Plaza SP Tar'!$C:$C,'Plaza SP Tar'!F:F)</f>
        <v>4228678.5711789783</v>
      </c>
      <c r="H644" s="1">
        <v>18000</v>
      </c>
      <c r="I644" s="1">
        <f>_xlfn.XLOOKUP($C644,'Plaza SP Tar'!$C:$C,'Plaza SP Tar'!G:G)</f>
        <v>4651546.4282968761</v>
      </c>
      <c r="J644" s="1">
        <v>25000</v>
      </c>
      <c r="K644" s="1">
        <f>_xlfn.XLOOKUP($C644,'Plaza SP Tar'!$C:$C,'Plaza SP Tar'!H:H)</f>
        <v>5074414.285414774</v>
      </c>
      <c r="L644" s="1">
        <v>30000</v>
      </c>
      <c r="M644" s="1">
        <f>_xlfn.XLOOKUP($C644,'Plaza SP Tar'!$C:$C,'Plaza SP Tar'!I:I)</f>
        <v>5497282.1425326718</v>
      </c>
      <c r="N644" s="1">
        <v>40000</v>
      </c>
      <c r="O644" s="1">
        <f>_xlfn.XLOOKUP($C644,'Plaza SP Tar'!$C:$C,'Plaza SP Tar'!J:J)</f>
        <v>5920149.9996505687</v>
      </c>
      <c r="P644" s="1">
        <v>45000</v>
      </c>
      <c r="Q644" s="1">
        <f>_xlfn.XLOOKUP($C644,'Plaza SP Tar'!$C:$C,'Plaza SP Tar'!K:K)</f>
        <v>6343017.8567684675</v>
      </c>
      <c r="R644">
        <v>50000</v>
      </c>
    </row>
    <row r="645" spans="1:18" x14ac:dyDescent="0.25">
      <c r="A645" t="s">
        <v>685</v>
      </c>
      <c r="B645" t="s">
        <v>686</v>
      </c>
      <c r="C645" t="s">
        <v>701</v>
      </c>
      <c r="D645" s="1">
        <v>6539960</v>
      </c>
      <c r="E645" s="1">
        <f>_xlfn.XLOOKUP($C645,'Plaza SP Tar'!$C:$C,'Plaza SP Tar'!E:E)</f>
        <v>7138575.6575714005</v>
      </c>
      <c r="F645" s="1">
        <v>10000</v>
      </c>
      <c r="G645" s="1">
        <f>_xlfn.XLOOKUP($C645,'Plaza SP Tar'!$C:$C,'Plaza SP Tar'!F:F)</f>
        <v>8158372.1800816003</v>
      </c>
      <c r="H645" s="1">
        <v>18000</v>
      </c>
      <c r="I645" s="1">
        <f>_xlfn.XLOOKUP($C645,'Plaza SP Tar'!$C:$C,'Plaza SP Tar'!G:G)</f>
        <v>8974209.3980897591</v>
      </c>
      <c r="J645" s="1">
        <v>25000</v>
      </c>
      <c r="K645" s="1">
        <f>_xlfn.XLOOKUP($C645,'Plaza SP Tar'!$C:$C,'Plaza SP Tar'!H:H)</f>
        <v>9790046.6160979196</v>
      </c>
      <c r="L645" s="1">
        <v>30000</v>
      </c>
      <c r="M645" s="1">
        <f>_xlfn.XLOOKUP($C645,'Plaza SP Tar'!$C:$C,'Plaza SP Tar'!I:I)</f>
        <v>10605883.83410608</v>
      </c>
      <c r="N645" s="1">
        <v>40000</v>
      </c>
      <c r="O645" s="1">
        <f>_xlfn.XLOOKUP($C645,'Plaza SP Tar'!$C:$C,'Plaza SP Tar'!J:J)</f>
        <v>11421721.052114239</v>
      </c>
      <c r="P645" s="1">
        <v>45000</v>
      </c>
      <c r="Q645" s="1">
        <f>_xlfn.XLOOKUP($C645,'Plaza SP Tar'!$C:$C,'Plaza SP Tar'!K:K)</f>
        <v>12237558.2701224</v>
      </c>
      <c r="R645">
        <v>50000</v>
      </c>
    </row>
    <row r="646" spans="1:18" x14ac:dyDescent="0.25">
      <c r="A646" t="s">
        <v>685</v>
      </c>
      <c r="B646" t="s">
        <v>702</v>
      </c>
      <c r="C646" t="s">
        <v>703</v>
      </c>
      <c r="D646" s="1">
        <v>3531106</v>
      </c>
      <c r="E646" s="1">
        <f>_xlfn.XLOOKUP($C646,'Plaza SP Tar'!$C:$C,'Plaza SP Tar'!E:E)</f>
        <v>3854315.2153689503</v>
      </c>
      <c r="F646" s="1">
        <v>10000</v>
      </c>
      <c r="G646" s="1">
        <f>_xlfn.XLOOKUP($C646,'Plaza SP Tar'!$C:$C,'Plaza SP Tar'!F:F)</f>
        <v>4404931.6747073717</v>
      </c>
      <c r="H646" s="1">
        <v>18000</v>
      </c>
      <c r="I646" s="1">
        <f>_xlfn.XLOOKUP($C646,'Plaza SP Tar'!$C:$C,'Plaza SP Tar'!G:G)</f>
        <v>4845424.8421781082</v>
      </c>
      <c r="J646" s="1">
        <v>25000</v>
      </c>
      <c r="K646" s="1">
        <f>_xlfn.XLOOKUP($C646,'Plaza SP Tar'!$C:$C,'Plaza SP Tar'!H:H)</f>
        <v>5285918.0096488455</v>
      </c>
      <c r="L646" s="1">
        <v>30000</v>
      </c>
      <c r="M646" s="1">
        <f>_xlfn.XLOOKUP($C646,'Plaza SP Tar'!$C:$C,'Plaza SP Tar'!I:I)</f>
        <v>5726411.1771195829</v>
      </c>
      <c r="N646" s="1">
        <v>40000</v>
      </c>
      <c r="O646" s="1">
        <f>_xlfn.XLOOKUP($C646,'Plaza SP Tar'!$C:$C,'Plaza SP Tar'!J:J)</f>
        <v>6166904.3445903193</v>
      </c>
      <c r="P646" s="1">
        <v>45000</v>
      </c>
      <c r="Q646" s="1">
        <f>_xlfn.XLOOKUP($C646,'Plaza SP Tar'!$C:$C,'Plaza SP Tar'!K:K)</f>
        <v>6607397.5120610567</v>
      </c>
      <c r="R646">
        <v>50000</v>
      </c>
    </row>
    <row r="647" spans="1:18" x14ac:dyDescent="0.25">
      <c r="A647" t="s">
        <v>685</v>
      </c>
      <c r="B647" t="s">
        <v>702</v>
      </c>
      <c r="C647" t="s">
        <v>704</v>
      </c>
      <c r="D647" s="1">
        <v>3798610</v>
      </c>
      <c r="E647" s="1">
        <f>_xlfn.XLOOKUP($C647,'Plaza SP Tar'!$C:$C,'Plaza SP Tar'!E:E)</f>
        <v>4146304.3930860888</v>
      </c>
      <c r="F647" s="1">
        <v>10000</v>
      </c>
      <c r="G647" s="1">
        <f>_xlfn.XLOOKUP($C647,'Plaza SP Tar'!$C:$C,'Plaza SP Tar'!F:F)</f>
        <v>4738633.592098387</v>
      </c>
      <c r="H647" s="1">
        <v>18000</v>
      </c>
      <c r="I647" s="1">
        <f>_xlfn.XLOOKUP($C647,'Plaza SP Tar'!$C:$C,'Plaza SP Tar'!G:G)</f>
        <v>5212496.9513082253</v>
      </c>
      <c r="J647" s="1">
        <v>25000</v>
      </c>
      <c r="K647" s="1">
        <f>_xlfn.XLOOKUP($C647,'Plaza SP Tar'!$C:$C,'Plaza SP Tar'!H:H)</f>
        <v>5686360.3105180645</v>
      </c>
      <c r="L647" s="1">
        <v>30000</v>
      </c>
      <c r="M647" s="1">
        <f>_xlfn.XLOOKUP($C647,'Plaza SP Tar'!$C:$C,'Plaza SP Tar'!I:I)</f>
        <v>6160223.6697279038</v>
      </c>
      <c r="N647" s="1">
        <v>40000</v>
      </c>
      <c r="O647" s="1">
        <f>_xlfn.XLOOKUP($C647,'Plaza SP Tar'!$C:$C,'Plaza SP Tar'!J:J)</f>
        <v>6634087.0289377412</v>
      </c>
      <c r="P647" s="1">
        <v>45000</v>
      </c>
      <c r="Q647" s="1">
        <f>_xlfn.XLOOKUP($C647,'Plaza SP Tar'!$C:$C,'Plaza SP Tar'!K:K)</f>
        <v>7107950.3881475804</v>
      </c>
      <c r="R647">
        <v>50000</v>
      </c>
    </row>
    <row r="648" spans="1:18" x14ac:dyDescent="0.25">
      <c r="A648" t="s">
        <v>685</v>
      </c>
      <c r="B648" t="s">
        <v>702</v>
      </c>
      <c r="C648" t="s">
        <v>705</v>
      </c>
      <c r="D648" s="1">
        <v>5156065</v>
      </c>
      <c r="E648" s="1">
        <f>_xlfn.XLOOKUP($C648,'Plaza SP Tar'!$C:$C,'Plaza SP Tar'!E:E)</f>
        <v>5628009.9722102098</v>
      </c>
      <c r="F648" s="1">
        <v>10000</v>
      </c>
      <c r="G648" s="1">
        <f>_xlfn.XLOOKUP($C648,'Plaza SP Tar'!$C:$C,'Plaza SP Tar'!F:F)</f>
        <v>6432011.3968116688</v>
      </c>
      <c r="H648" s="1">
        <v>18000</v>
      </c>
      <c r="I648" s="1">
        <f>_xlfn.XLOOKUP($C648,'Plaza SP Tar'!$C:$C,'Plaza SP Tar'!G:G)</f>
        <v>7075212.5364928348</v>
      </c>
      <c r="J648" s="1">
        <v>25000</v>
      </c>
      <c r="K648" s="1">
        <f>_xlfn.XLOOKUP($C648,'Plaza SP Tar'!$C:$C,'Plaza SP Tar'!H:H)</f>
        <v>7718413.6761740018</v>
      </c>
      <c r="L648" s="1">
        <v>30000</v>
      </c>
      <c r="M648" s="1">
        <f>_xlfn.XLOOKUP($C648,'Plaza SP Tar'!$C:$C,'Plaza SP Tar'!I:I)</f>
        <v>8361614.8158551687</v>
      </c>
      <c r="N648" s="1">
        <v>40000</v>
      </c>
      <c r="O648" s="1">
        <f>_xlfn.XLOOKUP($C648,'Plaza SP Tar'!$C:$C,'Plaza SP Tar'!J:J)</f>
        <v>9004815.9555363357</v>
      </c>
      <c r="P648" s="1">
        <v>45000</v>
      </c>
      <c r="Q648" s="1">
        <f>_xlfn.XLOOKUP($C648,'Plaza SP Tar'!$C:$C,'Plaza SP Tar'!K:K)</f>
        <v>9648017.0952175017</v>
      </c>
      <c r="R648">
        <v>50000</v>
      </c>
    </row>
    <row r="649" spans="1:18" x14ac:dyDescent="0.25">
      <c r="A649" t="s">
        <v>685</v>
      </c>
      <c r="B649" t="s">
        <v>702</v>
      </c>
      <c r="C649" t="s">
        <v>706</v>
      </c>
      <c r="D649" s="1">
        <v>4505945</v>
      </c>
      <c r="E649" s="1">
        <f>_xlfn.XLOOKUP($C649,'Plaza SP Tar'!$C:$C,'Plaza SP Tar'!E:E)</f>
        <v>4918383.1845080955</v>
      </c>
      <c r="F649" s="1">
        <v>10000</v>
      </c>
      <c r="G649" s="1">
        <f>_xlfn.XLOOKUP($C649,'Plaza SP Tar'!$C:$C,'Plaza SP Tar'!F:F)</f>
        <v>5621009.3537235381</v>
      </c>
      <c r="H649" s="1">
        <v>18000</v>
      </c>
      <c r="I649" s="1">
        <f>_xlfn.XLOOKUP($C649,'Plaza SP Tar'!$C:$C,'Plaza SP Tar'!G:G)</f>
        <v>6183110.2890958907</v>
      </c>
      <c r="J649" s="1">
        <v>25000</v>
      </c>
      <c r="K649" s="1">
        <f>_xlfn.XLOOKUP($C649,'Plaza SP Tar'!$C:$C,'Plaza SP Tar'!H:H)</f>
        <v>6745211.2244682452</v>
      </c>
      <c r="L649" s="1">
        <v>30000</v>
      </c>
      <c r="M649" s="1">
        <f>_xlfn.XLOOKUP($C649,'Plaza SP Tar'!$C:$C,'Plaza SP Tar'!I:I)</f>
        <v>7307312.1598405987</v>
      </c>
      <c r="N649" s="1">
        <v>40000</v>
      </c>
      <c r="O649" s="1">
        <f>_xlfn.XLOOKUP($C649,'Plaza SP Tar'!$C:$C,'Plaza SP Tar'!J:J)</f>
        <v>7869413.0952129522</v>
      </c>
      <c r="P649" s="1">
        <v>45000</v>
      </c>
      <c r="Q649" s="1">
        <f>_xlfn.XLOOKUP($C649,'Plaza SP Tar'!$C:$C,'Plaza SP Tar'!K:K)</f>
        <v>8431514.0305853058</v>
      </c>
      <c r="R649">
        <v>50000</v>
      </c>
    </row>
    <row r="650" spans="1:18" x14ac:dyDescent="0.25">
      <c r="A650" t="s">
        <v>685</v>
      </c>
      <c r="B650" t="s">
        <v>702</v>
      </c>
      <c r="C650" t="s">
        <v>707</v>
      </c>
      <c r="D650" s="1">
        <v>4060752</v>
      </c>
      <c r="E650" s="1">
        <f>_xlfn.XLOOKUP($C650,'Plaza SP Tar'!$C:$C,'Plaza SP Tar'!E:E)</f>
        <v>4432440.7761873743</v>
      </c>
      <c r="F650" s="1">
        <v>10000</v>
      </c>
      <c r="G650" s="1">
        <f>_xlfn.XLOOKUP($C650,'Plaza SP Tar'!$C:$C,'Plaza SP Tar'!F:F)</f>
        <v>5065646.601356999</v>
      </c>
      <c r="H650" s="1">
        <v>18000</v>
      </c>
      <c r="I650" s="1">
        <f>_xlfn.XLOOKUP($C650,'Plaza SP Tar'!$C:$C,'Plaza SP Tar'!G:G)</f>
        <v>5572211.2614926985</v>
      </c>
      <c r="J650" s="1">
        <v>25000</v>
      </c>
      <c r="K650" s="1">
        <f>_xlfn.XLOOKUP($C650,'Plaza SP Tar'!$C:$C,'Plaza SP Tar'!H:H)</f>
        <v>6078775.9216283988</v>
      </c>
      <c r="L650" s="1">
        <v>30000</v>
      </c>
      <c r="M650" s="1">
        <f>_xlfn.XLOOKUP($C650,'Plaza SP Tar'!$C:$C,'Plaza SP Tar'!I:I)</f>
        <v>6585340.5817640992</v>
      </c>
      <c r="N650" s="1">
        <v>40000</v>
      </c>
      <c r="O650" s="1">
        <f>_xlfn.XLOOKUP($C650,'Plaza SP Tar'!$C:$C,'Plaza SP Tar'!J:J)</f>
        <v>7091905.2418997977</v>
      </c>
      <c r="P650" s="1">
        <v>45000</v>
      </c>
      <c r="Q650" s="1">
        <f>_xlfn.XLOOKUP($C650,'Plaza SP Tar'!$C:$C,'Plaza SP Tar'!K:K)</f>
        <v>7598469.9020354981</v>
      </c>
      <c r="R650">
        <v>50000</v>
      </c>
    </row>
    <row r="651" spans="1:18" x14ac:dyDescent="0.25">
      <c r="A651" t="s">
        <v>685</v>
      </c>
      <c r="B651" t="s">
        <v>702</v>
      </c>
      <c r="C651" t="s">
        <v>708</v>
      </c>
      <c r="D651" s="1">
        <v>8340933</v>
      </c>
      <c r="E651" s="1">
        <f>_xlfn.XLOOKUP($C651,'Plaza SP Tar'!$C:$C,'Plaza SP Tar'!E:E)</f>
        <v>9104395.3289062921</v>
      </c>
      <c r="F651" s="1">
        <v>10000</v>
      </c>
      <c r="G651" s="1">
        <f>_xlfn.XLOOKUP($C651,'Plaza SP Tar'!$C:$C,'Plaza SP Tar'!F:F)</f>
        <v>10405023.233035762</v>
      </c>
      <c r="H651" s="1">
        <v>18000</v>
      </c>
      <c r="I651" s="1">
        <f>_xlfn.XLOOKUP($C651,'Plaza SP Tar'!$C:$C,'Plaza SP Tar'!G:G)</f>
        <v>11445525.556339338</v>
      </c>
      <c r="J651" s="1">
        <v>25000</v>
      </c>
      <c r="K651" s="1">
        <f>_xlfn.XLOOKUP($C651,'Plaza SP Tar'!$C:$C,'Plaza SP Tar'!H:H)</f>
        <v>12486027.879642915</v>
      </c>
      <c r="L651" s="1">
        <v>30000</v>
      </c>
      <c r="M651" s="1">
        <f>_xlfn.XLOOKUP($C651,'Plaza SP Tar'!$C:$C,'Plaza SP Tar'!I:I)</f>
        <v>13526530.202946492</v>
      </c>
      <c r="N651" s="1">
        <v>40000</v>
      </c>
      <c r="O651" s="1">
        <f>_xlfn.XLOOKUP($C651,'Plaza SP Tar'!$C:$C,'Plaza SP Tar'!J:J)</f>
        <v>14567032.526250066</v>
      </c>
      <c r="P651" s="1">
        <v>45000</v>
      </c>
      <c r="Q651" s="1">
        <f>_xlfn.XLOOKUP($C651,'Plaza SP Tar'!$C:$C,'Plaza SP Tar'!K:K)</f>
        <v>15607534.849553643</v>
      </c>
      <c r="R651">
        <v>50000</v>
      </c>
    </row>
    <row r="652" spans="1:18" x14ac:dyDescent="0.25">
      <c r="A652" t="s">
        <v>685</v>
      </c>
      <c r="B652" t="s">
        <v>702</v>
      </c>
      <c r="C652" t="s">
        <v>709</v>
      </c>
      <c r="D652" s="1">
        <v>2568907</v>
      </c>
      <c r="E652" s="1">
        <f>_xlfn.XLOOKUP($C652,'Plaza SP Tar'!$C:$C,'Plaza SP Tar'!E:E)</f>
        <v>2804044.2107848939</v>
      </c>
      <c r="F652" s="1">
        <v>10000</v>
      </c>
      <c r="G652" s="1">
        <f>_xlfn.XLOOKUP($C652,'Plaza SP Tar'!$C:$C,'Plaza SP Tar'!F:F)</f>
        <v>3204621.9551827358</v>
      </c>
      <c r="H652" s="1">
        <v>18000</v>
      </c>
      <c r="I652" s="1">
        <f>_xlfn.XLOOKUP($C652,'Plaza SP Tar'!$C:$C,'Plaza SP Tar'!G:G)</f>
        <v>3525084.1507010087</v>
      </c>
      <c r="J652" s="1">
        <v>25000</v>
      </c>
      <c r="K652" s="1">
        <f>_xlfn.XLOOKUP($C652,'Plaza SP Tar'!$C:$C,'Plaza SP Tar'!H:H)</f>
        <v>3845546.3462192826</v>
      </c>
      <c r="L652" s="1">
        <v>30000</v>
      </c>
      <c r="M652" s="1">
        <f>_xlfn.XLOOKUP($C652,'Plaza SP Tar'!$C:$C,'Plaza SP Tar'!I:I)</f>
        <v>4166008.5417375565</v>
      </c>
      <c r="N652" s="1">
        <v>40000</v>
      </c>
      <c r="O652" s="1">
        <f>_xlfn.XLOOKUP($C652,'Plaza SP Tar'!$C:$C,'Plaza SP Tar'!J:J)</f>
        <v>4486470.7372558294</v>
      </c>
      <c r="P652" s="1">
        <v>45000</v>
      </c>
      <c r="Q652" s="1">
        <f>_xlfn.XLOOKUP($C652,'Plaza SP Tar'!$C:$C,'Plaza SP Tar'!K:K)</f>
        <v>4806932.9327741032</v>
      </c>
      <c r="R652">
        <v>50000</v>
      </c>
    </row>
    <row r="653" spans="1:18" x14ac:dyDescent="0.25">
      <c r="A653" t="s">
        <v>685</v>
      </c>
      <c r="B653" t="s">
        <v>702</v>
      </c>
      <c r="C653" t="s">
        <v>710</v>
      </c>
      <c r="D653" s="1">
        <v>2363257</v>
      </c>
      <c r="E653" s="1">
        <f>_xlfn.XLOOKUP($C653,'Plaza SP Tar'!$C:$C,'Plaza SP Tar'!E:E)</f>
        <v>2579570.6537632057</v>
      </c>
      <c r="F653" s="1">
        <v>10000</v>
      </c>
      <c r="G653" s="1">
        <f>_xlfn.XLOOKUP($C653,'Plaza SP Tar'!$C:$C,'Plaza SP Tar'!F:F)</f>
        <v>2948080.7471579495</v>
      </c>
      <c r="H653" s="1">
        <v>18000</v>
      </c>
      <c r="I653" s="1">
        <f>_xlfn.XLOOKUP($C653,'Plaza SP Tar'!$C:$C,'Plaza SP Tar'!G:G)</f>
        <v>3242888.821873744</v>
      </c>
      <c r="J653" s="1">
        <v>25000</v>
      </c>
      <c r="K653" s="1">
        <f>_xlfn.XLOOKUP($C653,'Plaza SP Tar'!$C:$C,'Plaza SP Tar'!H:H)</f>
        <v>3537696.896589539</v>
      </c>
      <c r="L653" s="1">
        <v>30000</v>
      </c>
      <c r="M653" s="1">
        <f>_xlfn.XLOOKUP($C653,'Plaza SP Tar'!$C:$C,'Plaza SP Tar'!I:I)</f>
        <v>3832504.9713053345</v>
      </c>
      <c r="N653" s="1">
        <v>40000</v>
      </c>
      <c r="O653" s="1">
        <f>_xlfn.XLOOKUP($C653,'Plaza SP Tar'!$C:$C,'Plaza SP Tar'!J:J)</f>
        <v>4127313.046021129</v>
      </c>
      <c r="P653" s="1">
        <v>45000</v>
      </c>
      <c r="Q653" s="1">
        <f>_xlfn.XLOOKUP($C653,'Plaza SP Tar'!$C:$C,'Plaza SP Tar'!K:K)</f>
        <v>4422121.120736924</v>
      </c>
      <c r="R653">
        <v>50000</v>
      </c>
    </row>
    <row r="654" spans="1:18" x14ac:dyDescent="0.25">
      <c r="A654" t="s">
        <v>685</v>
      </c>
      <c r="B654" t="s">
        <v>702</v>
      </c>
      <c r="C654" t="s">
        <v>711</v>
      </c>
      <c r="D654" s="1">
        <v>4573483</v>
      </c>
      <c r="E654" s="1">
        <f>_xlfn.XLOOKUP($C654,'Plaza SP Tar'!$C:$C,'Plaza SP Tar'!E:E)</f>
        <v>4992103.073125313</v>
      </c>
      <c r="F654" s="1">
        <v>10000</v>
      </c>
      <c r="G654" s="1">
        <f>_xlfn.XLOOKUP($C654,'Plaza SP Tar'!$C:$C,'Plaza SP Tar'!F:F)</f>
        <v>5705260.6550003579</v>
      </c>
      <c r="H654" s="1">
        <v>18000</v>
      </c>
      <c r="I654" s="1">
        <f>_xlfn.XLOOKUP($C654,'Plaza SP Tar'!$C:$C,'Plaza SP Tar'!G:G)</f>
        <v>6275786.7205003928</v>
      </c>
      <c r="J654" s="1">
        <v>25000</v>
      </c>
      <c r="K654" s="1">
        <f>_xlfn.XLOOKUP($C654,'Plaza SP Tar'!$C:$C,'Plaza SP Tar'!H:H)</f>
        <v>6846312.7860004287</v>
      </c>
      <c r="L654" s="1">
        <v>30000</v>
      </c>
      <c r="M654" s="1">
        <f>_xlfn.XLOOKUP($C654,'Plaza SP Tar'!$C:$C,'Plaza SP Tar'!I:I)</f>
        <v>7416838.8515004646</v>
      </c>
      <c r="N654" s="1">
        <v>40000</v>
      </c>
      <c r="O654" s="1">
        <f>_xlfn.XLOOKUP($C654,'Plaza SP Tar'!$C:$C,'Plaza SP Tar'!J:J)</f>
        <v>7987364.9170004996</v>
      </c>
      <c r="P654" s="1">
        <v>45000</v>
      </c>
      <c r="Q654" s="1">
        <f>_xlfn.XLOOKUP($C654,'Plaza SP Tar'!$C:$C,'Plaza SP Tar'!K:K)</f>
        <v>8557890.9825005364</v>
      </c>
      <c r="R654">
        <v>50000</v>
      </c>
    </row>
    <row r="655" spans="1:18" x14ac:dyDescent="0.25">
      <c r="A655" t="s">
        <v>685</v>
      </c>
      <c r="B655" t="s">
        <v>702</v>
      </c>
      <c r="C655" t="s">
        <v>712</v>
      </c>
      <c r="D655" s="1">
        <v>3699251</v>
      </c>
      <c r="E655" s="1">
        <f>_xlfn.XLOOKUP($C655,'Plaza SP Tar'!$C:$C,'Plaza SP Tar'!E:E)</f>
        <v>4037850.8645078354</v>
      </c>
      <c r="F655" s="1">
        <v>10000</v>
      </c>
      <c r="G655" s="1">
        <f>_xlfn.XLOOKUP($C655,'Plaza SP Tar'!$C:$C,'Plaza SP Tar'!F:F)</f>
        <v>4614686.7022946691</v>
      </c>
      <c r="H655" s="1">
        <v>18000</v>
      </c>
      <c r="I655" s="1">
        <f>_xlfn.XLOOKUP($C655,'Plaza SP Tar'!$C:$C,'Plaza SP Tar'!G:G)</f>
        <v>5076155.3725241348</v>
      </c>
      <c r="J655" s="1">
        <v>25000</v>
      </c>
      <c r="K655" s="1">
        <f>_xlfn.XLOOKUP($C655,'Plaza SP Tar'!$C:$C,'Plaza SP Tar'!H:H)</f>
        <v>5537624.0427536024</v>
      </c>
      <c r="L655" s="1">
        <v>30000</v>
      </c>
      <c r="M655" s="1">
        <f>_xlfn.XLOOKUP($C655,'Plaza SP Tar'!$C:$C,'Plaza SP Tar'!I:I)</f>
        <v>5999092.712983069</v>
      </c>
      <c r="N655" s="1">
        <v>40000</v>
      </c>
      <c r="O655" s="1">
        <f>_xlfn.XLOOKUP($C655,'Plaza SP Tar'!$C:$C,'Plaza SP Tar'!J:J)</f>
        <v>6460561.3832125356</v>
      </c>
      <c r="P655" s="1">
        <v>45000</v>
      </c>
      <c r="Q655" s="1">
        <f>_xlfn.XLOOKUP($C655,'Plaza SP Tar'!$C:$C,'Plaza SP Tar'!K:K)</f>
        <v>6922030.0534420023</v>
      </c>
      <c r="R655">
        <v>50000</v>
      </c>
    </row>
    <row r="656" spans="1:18" x14ac:dyDescent="0.25">
      <c r="A656" t="s">
        <v>685</v>
      </c>
      <c r="B656" t="s">
        <v>702</v>
      </c>
      <c r="C656" t="s">
        <v>713</v>
      </c>
      <c r="D656" s="1">
        <v>3176124</v>
      </c>
      <c r="E656" s="1">
        <f>_xlfn.XLOOKUP($C656,'Plaza SP Tar'!$C:$C,'Plaza SP Tar'!E:E)</f>
        <v>3466841.0008361377</v>
      </c>
      <c r="F656" s="1">
        <v>10000</v>
      </c>
      <c r="G656" s="1">
        <f>_xlfn.XLOOKUP($C656,'Plaza SP Tar'!$C:$C,'Plaza SP Tar'!F:F)</f>
        <v>3962104.0009555859</v>
      </c>
      <c r="H656" s="1">
        <v>18000</v>
      </c>
      <c r="I656" s="1">
        <f>_xlfn.XLOOKUP($C656,'Plaza SP Tar'!$C:$C,'Plaza SP Tar'!G:G)</f>
        <v>4358314.4010511441</v>
      </c>
      <c r="J656" s="1">
        <v>25000</v>
      </c>
      <c r="K656" s="1">
        <f>_xlfn.XLOOKUP($C656,'Plaza SP Tar'!$C:$C,'Plaza SP Tar'!H:H)</f>
        <v>4754524.8011467028</v>
      </c>
      <c r="L656" s="1">
        <v>30000</v>
      </c>
      <c r="M656" s="1">
        <f>_xlfn.XLOOKUP($C656,'Plaza SP Tar'!$C:$C,'Plaza SP Tar'!I:I)</f>
        <v>5150735.2012422616</v>
      </c>
      <c r="N656" s="1">
        <v>40000</v>
      </c>
      <c r="O656" s="1">
        <f>_xlfn.XLOOKUP($C656,'Plaza SP Tar'!$C:$C,'Plaza SP Tar'!J:J)</f>
        <v>5546945.6013378194</v>
      </c>
      <c r="P656" s="1">
        <v>45000</v>
      </c>
      <c r="Q656" s="1">
        <f>_xlfn.XLOOKUP($C656,'Plaza SP Tar'!$C:$C,'Plaza SP Tar'!K:K)</f>
        <v>5943156.001433379</v>
      </c>
      <c r="R656">
        <v>50000</v>
      </c>
    </row>
    <row r="657" spans="1:18" x14ac:dyDescent="0.25">
      <c r="A657" t="s">
        <v>685</v>
      </c>
      <c r="B657" t="s">
        <v>714</v>
      </c>
      <c r="C657" t="s">
        <v>715</v>
      </c>
      <c r="D657" s="1">
        <v>4757674</v>
      </c>
      <c r="E657" s="1">
        <f>_xlfn.XLOOKUP($C657,'Plaza SP Tar'!$C:$C,'Plaza SP Tar'!E:E)</f>
        <v>5193153.4448315213</v>
      </c>
      <c r="F657" s="1">
        <v>10000</v>
      </c>
      <c r="G657" s="1">
        <f>_xlfn.XLOOKUP($C657,'Plaza SP Tar'!$C:$C,'Plaza SP Tar'!F:F)</f>
        <v>5935032.508378881</v>
      </c>
      <c r="H657" s="1">
        <v>18000</v>
      </c>
      <c r="I657" s="1">
        <f>_xlfn.XLOOKUP($C657,'Plaza SP Tar'!$C:$C,'Plaza SP Tar'!G:G)</f>
        <v>6528535.7592167687</v>
      </c>
      <c r="J657" s="1">
        <v>25000</v>
      </c>
      <c r="K657" s="1">
        <f>_xlfn.XLOOKUP($C657,'Plaza SP Tar'!$C:$C,'Plaza SP Tar'!H:H)</f>
        <v>7122039.0100546572</v>
      </c>
      <c r="L657" s="1">
        <v>30000</v>
      </c>
      <c r="M657" s="1">
        <f>_xlfn.XLOOKUP($C657,'Plaza SP Tar'!$C:$C,'Plaza SP Tar'!I:I)</f>
        <v>7715542.2608925458</v>
      </c>
      <c r="N657" s="1">
        <v>40000</v>
      </c>
      <c r="O657" s="1">
        <f>_xlfn.XLOOKUP($C657,'Plaza SP Tar'!$C:$C,'Plaza SP Tar'!J:J)</f>
        <v>8309045.5117304334</v>
      </c>
      <c r="P657" s="1">
        <v>45000</v>
      </c>
      <c r="Q657" s="1">
        <f>_xlfn.XLOOKUP($C657,'Plaza SP Tar'!$C:$C,'Plaza SP Tar'!K:K)</f>
        <v>8902548.7625683211</v>
      </c>
      <c r="R657">
        <v>50000</v>
      </c>
    </row>
    <row r="658" spans="1:18" x14ac:dyDescent="0.25">
      <c r="A658" t="s">
        <v>685</v>
      </c>
      <c r="B658" t="s">
        <v>714</v>
      </c>
      <c r="C658" t="s">
        <v>716</v>
      </c>
      <c r="D658" s="1">
        <v>3313716</v>
      </c>
      <c r="E658" s="1">
        <f>_xlfn.XLOOKUP($C658,'Plaza SP Tar'!$C:$C,'Plaza SP Tar'!E:E)</f>
        <v>3617027.072597519</v>
      </c>
      <c r="F658" s="1">
        <v>10000</v>
      </c>
      <c r="G658" s="1">
        <f>_xlfn.XLOOKUP($C658,'Plaza SP Tar'!$C:$C,'Plaza SP Tar'!F:F)</f>
        <v>4133745.2258257363</v>
      </c>
      <c r="H658" s="1">
        <v>18000</v>
      </c>
      <c r="I658" s="1">
        <f>_xlfn.XLOOKUP($C658,'Plaza SP Tar'!$C:$C,'Plaza SP Tar'!G:G)</f>
        <v>4547119.7484083092</v>
      </c>
      <c r="J658" s="1">
        <v>25000</v>
      </c>
      <c r="K658" s="1">
        <f>_xlfn.XLOOKUP($C658,'Plaza SP Tar'!$C:$C,'Plaza SP Tar'!H:H)</f>
        <v>4960494.270990883</v>
      </c>
      <c r="L658" s="1">
        <v>30000</v>
      </c>
      <c r="M658" s="1">
        <f>_xlfn.XLOOKUP($C658,'Plaza SP Tar'!$C:$C,'Plaza SP Tar'!I:I)</f>
        <v>5373868.7935734568</v>
      </c>
      <c r="N658" s="1">
        <v>40000</v>
      </c>
      <c r="O658" s="1">
        <f>_xlfn.XLOOKUP($C658,'Plaza SP Tar'!$C:$C,'Plaza SP Tar'!J:J)</f>
        <v>5787243.3161560297</v>
      </c>
      <c r="P658" s="1">
        <v>45000</v>
      </c>
      <c r="Q658" s="1">
        <f>_xlfn.XLOOKUP($C658,'Plaza SP Tar'!$C:$C,'Plaza SP Tar'!K:K)</f>
        <v>6200617.8387386035</v>
      </c>
      <c r="R658">
        <v>50000</v>
      </c>
    </row>
    <row r="659" spans="1:18" x14ac:dyDescent="0.25">
      <c r="A659" t="s">
        <v>685</v>
      </c>
      <c r="B659" t="s">
        <v>714</v>
      </c>
      <c r="C659" t="s">
        <v>717</v>
      </c>
      <c r="D659" s="1">
        <v>1480663</v>
      </c>
      <c r="E659" s="1">
        <f>_xlfn.XLOOKUP($C659,'Plaza SP Tar'!$C:$C,'Plaza SP Tar'!E:E)</f>
        <v>1616191.0545120526</v>
      </c>
      <c r="F659" s="1">
        <v>10000</v>
      </c>
      <c r="G659" s="1">
        <f>_xlfn.XLOOKUP($C659,'Plaza SP Tar'!$C:$C,'Plaza SP Tar'!F:F)</f>
        <v>1847075.4908709172</v>
      </c>
      <c r="H659" s="1">
        <v>18000</v>
      </c>
      <c r="I659" s="1">
        <f>_xlfn.XLOOKUP($C659,'Plaza SP Tar'!$C:$C,'Plaza SP Tar'!G:G)</f>
        <v>2031783.0399580086</v>
      </c>
      <c r="J659" s="1">
        <v>25000</v>
      </c>
      <c r="K659" s="1">
        <f>_xlfn.XLOOKUP($C659,'Plaza SP Tar'!$C:$C,'Plaza SP Tar'!H:H)</f>
        <v>2216490.5890451004</v>
      </c>
      <c r="L659" s="1">
        <v>30000</v>
      </c>
      <c r="M659" s="1">
        <f>_xlfn.XLOOKUP($C659,'Plaza SP Tar'!$C:$C,'Plaza SP Tar'!I:I)</f>
        <v>2401198.1381321922</v>
      </c>
      <c r="N659" s="1">
        <v>40000</v>
      </c>
      <c r="O659" s="1">
        <f>_xlfn.XLOOKUP($C659,'Plaza SP Tar'!$C:$C,'Plaza SP Tar'!J:J)</f>
        <v>2585905.6872192835</v>
      </c>
      <c r="P659" s="1">
        <v>45000</v>
      </c>
      <c r="Q659" s="1">
        <f>_xlfn.XLOOKUP($C659,'Plaza SP Tar'!$C:$C,'Plaza SP Tar'!K:K)</f>
        <v>2770613.2363063754</v>
      </c>
      <c r="R659">
        <v>50000</v>
      </c>
    </row>
    <row r="660" spans="1:18" x14ac:dyDescent="0.25">
      <c r="A660" t="s">
        <v>685</v>
      </c>
      <c r="B660" t="s">
        <v>714</v>
      </c>
      <c r="C660" t="s">
        <v>718</v>
      </c>
      <c r="D660" s="1">
        <v>9365553</v>
      </c>
      <c r="E660" s="1">
        <f>_xlfn.XLOOKUP($C660,'Plaza SP Tar'!$C:$C,'Plaza SP Tar'!E:E)</f>
        <v>10222800.852833169</v>
      </c>
      <c r="F660" s="1">
        <v>10000</v>
      </c>
      <c r="G660" s="1">
        <f>_xlfn.XLOOKUP($C660,'Plaza SP Tar'!$C:$C,'Plaza SP Tar'!F:F)</f>
        <v>11683200.974666478</v>
      </c>
      <c r="H660" s="1">
        <v>18000</v>
      </c>
      <c r="I660" s="1">
        <f>_xlfn.XLOOKUP($C660,'Plaza SP Tar'!$C:$C,'Plaza SP Tar'!G:G)</f>
        <v>12851521.072133124</v>
      </c>
      <c r="J660" s="1">
        <v>25000</v>
      </c>
      <c r="K660" s="1">
        <f>_xlfn.XLOOKUP($C660,'Plaza SP Tar'!$C:$C,'Plaza SP Tar'!H:H)</f>
        <v>14019841.169599771</v>
      </c>
      <c r="L660" s="1">
        <v>30000</v>
      </c>
      <c r="M660" s="1">
        <f>_xlfn.XLOOKUP($C660,'Plaza SP Tar'!$C:$C,'Plaza SP Tar'!I:I)</f>
        <v>15188161.267066421</v>
      </c>
      <c r="N660" s="1">
        <v>40000</v>
      </c>
      <c r="O660" s="1">
        <f>_xlfn.XLOOKUP($C660,'Plaza SP Tar'!$C:$C,'Plaza SP Tar'!J:J)</f>
        <v>16356481.364533067</v>
      </c>
      <c r="P660" s="1">
        <v>45000</v>
      </c>
      <c r="Q660" s="1">
        <f>_xlfn.XLOOKUP($C660,'Plaza SP Tar'!$C:$C,'Plaza SP Tar'!K:K)</f>
        <v>17524801.461999714</v>
      </c>
      <c r="R660">
        <v>50000</v>
      </c>
    </row>
    <row r="661" spans="1:18" x14ac:dyDescent="0.25">
      <c r="A661" t="s">
        <v>685</v>
      </c>
      <c r="B661" t="s">
        <v>714</v>
      </c>
      <c r="C661" t="s">
        <v>719</v>
      </c>
      <c r="D661" s="1">
        <v>8770820</v>
      </c>
      <c r="E661" s="1">
        <f>_xlfn.XLOOKUP($C661,'Plaza SP Tar'!$C:$C,'Plaza SP Tar'!E:E)</f>
        <v>9573630.7483440861</v>
      </c>
      <c r="F661" s="1">
        <v>10000</v>
      </c>
      <c r="G661" s="1">
        <f>_xlfn.XLOOKUP($C661,'Plaza SP Tar'!$C:$C,'Plaza SP Tar'!F:F)</f>
        <v>10941292.283821814</v>
      </c>
      <c r="H661" s="1">
        <v>18000</v>
      </c>
      <c r="I661" s="1">
        <f>_xlfn.XLOOKUP($C661,'Plaza SP Tar'!$C:$C,'Plaza SP Tar'!G:G)</f>
        <v>12035421.512203993</v>
      </c>
      <c r="J661" s="1">
        <v>25000</v>
      </c>
      <c r="K661" s="1">
        <f>_xlfn.XLOOKUP($C661,'Plaza SP Tar'!$C:$C,'Plaza SP Tar'!H:H)</f>
        <v>13129550.740586175</v>
      </c>
      <c r="L661" s="1">
        <v>30000</v>
      </c>
      <c r="M661" s="1">
        <f>_xlfn.XLOOKUP($C661,'Plaza SP Tar'!$C:$C,'Plaza SP Tar'!I:I)</f>
        <v>14223679.968968356</v>
      </c>
      <c r="N661" s="1">
        <v>40000</v>
      </c>
      <c r="O661" s="1">
        <f>_xlfn.XLOOKUP($C661,'Plaza SP Tar'!$C:$C,'Plaza SP Tar'!J:J)</f>
        <v>15317809.197350537</v>
      </c>
      <c r="P661" s="1">
        <v>45000</v>
      </c>
      <c r="Q661" s="1">
        <f>_xlfn.XLOOKUP($C661,'Plaza SP Tar'!$C:$C,'Plaza SP Tar'!K:K)</f>
        <v>16411938.425732719</v>
      </c>
      <c r="R661">
        <v>50000</v>
      </c>
    </row>
    <row r="662" spans="1:18" x14ac:dyDescent="0.25">
      <c r="A662" t="s">
        <v>685</v>
      </c>
      <c r="B662" t="s">
        <v>714</v>
      </c>
      <c r="C662" t="s">
        <v>720</v>
      </c>
      <c r="D662" s="1">
        <v>3463205</v>
      </c>
      <c r="E662" s="1">
        <f>_xlfn.XLOOKUP($C662,'Plaza SP Tar'!$C:$C,'Plaza SP Tar'!E:E)</f>
        <v>3780199.100633576</v>
      </c>
      <c r="F662" s="1">
        <v>10000</v>
      </c>
      <c r="G662" s="1">
        <f>_xlfn.XLOOKUP($C662,'Plaza SP Tar'!$C:$C,'Plaza SP Tar'!F:F)</f>
        <v>4320227.5435812296</v>
      </c>
      <c r="H662" s="1">
        <v>18000</v>
      </c>
      <c r="I662" s="1">
        <f>_xlfn.XLOOKUP($C662,'Plaza SP Tar'!$C:$C,'Plaza SP Tar'!G:G)</f>
        <v>4752250.2979393527</v>
      </c>
      <c r="J662" s="1">
        <v>25000</v>
      </c>
      <c r="K662" s="1">
        <f>_xlfn.XLOOKUP($C662,'Plaza SP Tar'!$C:$C,'Plaza SP Tar'!H:H)</f>
        <v>5184273.0522974757</v>
      </c>
      <c r="L662" s="1">
        <v>30000</v>
      </c>
      <c r="M662" s="1">
        <f>_xlfn.XLOOKUP($C662,'Plaza SP Tar'!$C:$C,'Plaza SP Tar'!I:I)</f>
        <v>5616295.8066555988</v>
      </c>
      <c r="N662" s="1">
        <v>40000</v>
      </c>
      <c r="O662" s="1">
        <f>_xlfn.XLOOKUP($C662,'Plaza SP Tar'!$C:$C,'Plaza SP Tar'!J:J)</f>
        <v>6048318.5610137209</v>
      </c>
      <c r="P662" s="1">
        <v>45000</v>
      </c>
      <c r="Q662" s="1">
        <f>_xlfn.XLOOKUP($C662,'Plaza SP Tar'!$C:$C,'Plaza SP Tar'!K:K)</f>
        <v>6480341.315371844</v>
      </c>
      <c r="R662">
        <v>50000</v>
      </c>
    </row>
    <row r="663" spans="1:18" x14ac:dyDescent="0.25">
      <c r="A663" t="s">
        <v>685</v>
      </c>
      <c r="B663" t="s">
        <v>714</v>
      </c>
      <c r="C663" t="s">
        <v>721</v>
      </c>
      <c r="D663" s="1">
        <v>12324654</v>
      </c>
      <c r="E663" s="1">
        <f>_xlfn.XLOOKUP($C663,'Plaza SP Tar'!$C:$C,'Plaza SP Tar'!E:E)</f>
        <v>13452754.303144054</v>
      </c>
      <c r="F663" s="1">
        <v>10000</v>
      </c>
      <c r="G663" s="1">
        <f>_xlfn.XLOOKUP($C663,'Plaza SP Tar'!$C:$C,'Plaza SP Tar'!F:F)</f>
        <v>15374576.346450349</v>
      </c>
      <c r="H663" s="1">
        <v>18000</v>
      </c>
      <c r="I663" s="1">
        <f>_xlfn.XLOOKUP($C663,'Plaza SP Tar'!$C:$C,'Plaza SP Tar'!G:G)</f>
        <v>16912033.981095381</v>
      </c>
      <c r="J663" s="1">
        <v>25000</v>
      </c>
      <c r="K663" s="1">
        <f>_xlfn.XLOOKUP($C663,'Plaza SP Tar'!$C:$C,'Plaza SP Tar'!H:H)</f>
        <v>18449491.615740418</v>
      </c>
      <c r="L663" s="1">
        <v>30000</v>
      </c>
      <c r="M663" s="1">
        <f>_xlfn.XLOOKUP($C663,'Plaza SP Tar'!$C:$C,'Plaza SP Tar'!I:I)</f>
        <v>19986949.250385452</v>
      </c>
      <c r="N663" s="1">
        <v>40000</v>
      </c>
      <c r="O663" s="1">
        <f>_xlfn.XLOOKUP($C663,'Plaza SP Tar'!$C:$C,'Plaza SP Tar'!J:J)</f>
        <v>21524406.885030486</v>
      </c>
      <c r="P663" s="1">
        <v>45000</v>
      </c>
      <c r="Q663" s="1">
        <f>_xlfn.XLOOKUP($C663,'Plaza SP Tar'!$C:$C,'Plaza SP Tar'!K:K)</f>
        <v>23061864.519675523</v>
      </c>
      <c r="R663">
        <v>50000</v>
      </c>
    </row>
    <row r="664" spans="1:18" x14ac:dyDescent="0.25">
      <c r="A664" t="s">
        <v>685</v>
      </c>
      <c r="B664" t="s">
        <v>714</v>
      </c>
      <c r="C664" t="s">
        <v>722</v>
      </c>
      <c r="D664" s="1">
        <v>6007366</v>
      </c>
      <c r="E664" s="1">
        <f>_xlfn.XLOOKUP($C664,'Plaza SP Tar'!$C:$C,'Plaza SP Tar'!E:E)</f>
        <v>6557232.2603994636</v>
      </c>
      <c r="F664" s="1">
        <v>10000</v>
      </c>
      <c r="G664" s="1">
        <f>_xlfn.XLOOKUP($C664,'Plaza SP Tar'!$C:$C,'Plaza SP Tar'!F:F)</f>
        <v>7493979.7261708155</v>
      </c>
      <c r="H664" s="1">
        <v>18000</v>
      </c>
      <c r="I664" s="1">
        <f>_xlfn.XLOOKUP($C664,'Plaza SP Tar'!$C:$C,'Plaza SP Tar'!G:G)</f>
        <v>8243377.698787896</v>
      </c>
      <c r="J664" s="1">
        <v>25000</v>
      </c>
      <c r="K664" s="1">
        <f>_xlfn.XLOOKUP($C664,'Plaza SP Tar'!$C:$C,'Plaza SP Tar'!H:H)</f>
        <v>8992775.6714049783</v>
      </c>
      <c r="L664" s="1">
        <v>30000</v>
      </c>
      <c r="M664" s="1">
        <f>_xlfn.XLOOKUP($C664,'Plaza SP Tar'!$C:$C,'Plaza SP Tar'!I:I)</f>
        <v>9742173.6440220606</v>
      </c>
      <c r="N664" s="1">
        <v>40000</v>
      </c>
      <c r="O664" s="1">
        <f>_xlfn.XLOOKUP($C664,'Plaza SP Tar'!$C:$C,'Plaza SP Tar'!J:J)</f>
        <v>10491571.616639141</v>
      </c>
      <c r="P664" s="1">
        <v>45000</v>
      </c>
      <c r="Q664" s="1">
        <f>_xlfn.XLOOKUP($C664,'Plaza SP Tar'!$C:$C,'Plaza SP Tar'!K:K)</f>
        <v>11240969.589256221</v>
      </c>
      <c r="R664">
        <v>50000</v>
      </c>
    </row>
    <row r="665" spans="1:18" x14ac:dyDescent="0.25">
      <c r="A665" t="s">
        <v>685</v>
      </c>
      <c r="B665" t="s">
        <v>714</v>
      </c>
      <c r="C665" t="s">
        <v>723</v>
      </c>
      <c r="D665" s="1">
        <v>10559831</v>
      </c>
      <c r="E665" s="1">
        <f>_xlfn.XLOOKUP($C665,'Plaza SP Tar'!$C:$C,'Plaza SP Tar'!E:E)</f>
        <v>11526393.513823917</v>
      </c>
      <c r="F665" s="1">
        <v>10000</v>
      </c>
      <c r="G665" s="1">
        <f>_xlfn.XLOOKUP($C665,'Plaza SP Tar'!$C:$C,'Plaza SP Tar'!F:F)</f>
        <v>13173021.158655904</v>
      </c>
      <c r="H665" s="1">
        <v>18000</v>
      </c>
      <c r="I665" s="1">
        <f>_xlfn.XLOOKUP($C665,'Plaza SP Tar'!$C:$C,'Plaza SP Tar'!G:G)</f>
        <v>14490323.274521494</v>
      </c>
      <c r="J665" s="1">
        <v>25000</v>
      </c>
      <c r="K665" s="1">
        <f>_xlfn.XLOOKUP($C665,'Plaza SP Tar'!$C:$C,'Plaza SP Tar'!H:H)</f>
        <v>15807625.390387084</v>
      </c>
      <c r="L665" s="1">
        <v>30000</v>
      </c>
      <c r="M665" s="1">
        <f>_xlfn.XLOOKUP($C665,'Plaza SP Tar'!$C:$C,'Plaza SP Tar'!I:I)</f>
        <v>17124927.506252676</v>
      </c>
      <c r="N665" s="1">
        <v>40000</v>
      </c>
      <c r="O665" s="1">
        <f>_xlfn.XLOOKUP($C665,'Plaza SP Tar'!$C:$C,'Plaza SP Tar'!J:J)</f>
        <v>18442229.622118264</v>
      </c>
      <c r="P665" s="1">
        <v>45000</v>
      </c>
      <c r="Q665" s="1">
        <f>_xlfn.XLOOKUP($C665,'Plaza SP Tar'!$C:$C,'Plaza SP Tar'!K:K)</f>
        <v>19759531.737983856</v>
      </c>
      <c r="R665">
        <v>50000</v>
      </c>
    </row>
    <row r="666" spans="1:18" x14ac:dyDescent="0.25">
      <c r="A666" t="s">
        <v>685</v>
      </c>
      <c r="B666" t="s">
        <v>714</v>
      </c>
      <c r="C666" t="s">
        <v>724</v>
      </c>
      <c r="D666" s="1">
        <v>4637226</v>
      </c>
      <c r="E666" s="1">
        <f>_xlfn.XLOOKUP($C666,'Plaza SP Tar'!$C:$C,'Plaza SP Tar'!E:E)</f>
        <v>5061680.5977799855</v>
      </c>
      <c r="F666" s="1">
        <v>10000</v>
      </c>
      <c r="G666" s="1">
        <f>_xlfn.XLOOKUP($C666,'Plaza SP Tar'!$C:$C,'Plaza SP Tar'!F:F)</f>
        <v>5784777.8260342693</v>
      </c>
      <c r="H666" s="1">
        <v>18000</v>
      </c>
      <c r="I666" s="1">
        <f>_xlfn.XLOOKUP($C666,'Plaza SP Tar'!$C:$C,'Plaza SP Tar'!G:G)</f>
        <v>6363255.6086376961</v>
      </c>
      <c r="J666" s="1">
        <v>25000</v>
      </c>
      <c r="K666" s="1">
        <f>_xlfn.XLOOKUP($C666,'Plaza SP Tar'!$C:$C,'Plaza SP Tar'!H:H)</f>
        <v>6941733.391241123</v>
      </c>
      <c r="L666" s="1">
        <v>30000</v>
      </c>
      <c r="M666" s="1">
        <f>_xlfn.XLOOKUP($C666,'Plaza SP Tar'!$C:$C,'Plaza SP Tar'!I:I)</f>
        <v>7520211.1738445498</v>
      </c>
      <c r="N666" s="1">
        <v>40000</v>
      </c>
      <c r="O666" s="1">
        <f>_xlfn.XLOOKUP($C666,'Plaza SP Tar'!$C:$C,'Plaza SP Tar'!J:J)</f>
        <v>8098688.9564479766</v>
      </c>
      <c r="P666" s="1">
        <v>45000</v>
      </c>
      <c r="Q666" s="1">
        <f>_xlfn.XLOOKUP($C666,'Plaza SP Tar'!$C:$C,'Plaza SP Tar'!K:K)</f>
        <v>8677166.7390514035</v>
      </c>
      <c r="R666">
        <v>50000</v>
      </c>
    </row>
    <row r="667" spans="1:18" x14ac:dyDescent="0.25">
      <c r="A667" t="s">
        <v>685</v>
      </c>
      <c r="B667" t="s">
        <v>714</v>
      </c>
      <c r="C667" t="s">
        <v>725</v>
      </c>
      <c r="D667" s="1">
        <v>6629343</v>
      </c>
      <c r="E667" s="1">
        <f>_xlfn.XLOOKUP($C667,'Plaza SP Tar'!$C:$C,'Plaza SP Tar'!E:E)</f>
        <v>7236140.0628583906</v>
      </c>
      <c r="F667" s="1">
        <v>10000</v>
      </c>
      <c r="G667" s="1">
        <f>_xlfn.XLOOKUP($C667,'Plaza SP Tar'!$C:$C,'Plaza SP Tar'!F:F)</f>
        <v>8269874.3575524464</v>
      </c>
      <c r="H667" s="1">
        <v>18000</v>
      </c>
      <c r="I667" s="1">
        <f>_xlfn.XLOOKUP($C667,'Plaza SP Tar'!$C:$C,'Plaza SP Tar'!G:G)</f>
        <v>9096861.7933076899</v>
      </c>
      <c r="J667" s="1">
        <v>25000</v>
      </c>
      <c r="K667" s="1">
        <f>_xlfn.XLOOKUP($C667,'Plaza SP Tar'!$C:$C,'Plaza SP Tar'!H:H)</f>
        <v>9923849.2290629353</v>
      </c>
      <c r="L667" s="1">
        <v>30000</v>
      </c>
      <c r="M667" s="1">
        <f>_xlfn.XLOOKUP($C667,'Plaza SP Tar'!$C:$C,'Plaza SP Tar'!I:I)</f>
        <v>10750836.664818181</v>
      </c>
      <c r="N667" s="1">
        <v>40000</v>
      </c>
      <c r="O667" s="1">
        <f>_xlfn.XLOOKUP($C667,'Plaza SP Tar'!$C:$C,'Plaza SP Tar'!J:J)</f>
        <v>11577824.100573424</v>
      </c>
      <c r="P667" s="1">
        <v>45000</v>
      </c>
      <c r="Q667" s="1">
        <f>_xlfn.XLOOKUP($C667,'Plaza SP Tar'!$C:$C,'Plaza SP Tar'!K:K)</f>
        <v>12404811.53632867</v>
      </c>
      <c r="R667">
        <v>50000</v>
      </c>
    </row>
    <row r="668" spans="1:18" x14ac:dyDescent="0.25">
      <c r="A668" t="s">
        <v>685</v>
      </c>
      <c r="B668" t="s">
        <v>714</v>
      </c>
      <c r="C668" t="s">
        <v>726</v>
      </c>
      <c r="D668" s="1">
        <v>4618158</v>
      </c>
      <c r="E668" s="1">
        <f>_xlfn.XLOOKUP($C668,'Plaza SP Tar'!$C:$C,'Plaza SP Tar'!E:E)</f>
        <v>5040867.2654907098</v>
      </c>
      <c r="F668" s="1">
        <v>10000</v>
      </c>
      <c r="G668" s="1">
        <f>_xlfn.XLOOKUP($C668,'Plaza SP Tar'!$C:$C,'Plaza SP Tar'!F:F)</f>
        <v>5760991.1605608119</v>
      </c>
      <c r="H668" s="1">
        <v>18000</v>
      </c>
      <c r="I668" s="1">
        <f>_xlfn.XLOOKUP($C668,'Plaza SP Tar'!$C:$C,'Plaza SP Tar'!G:G)</f>
        <v>6337090.2766168918</v>
      </c>
      <c r="J668" s="1">
        <v>25000</v>
      </c>
      <c r="K668" s="1">
        <f>_xlfn.XLOOKUP($C668,'Plaza SP Tar'!$C:$C,'Plaza SP Tar'!H:H)</f>
        <v>6913189.3926729737</v>
      </c>
      <c r="L668" s="1">
        <v>30000</v>
      </c>
      <c r="M668" s="1">
        <f>_xlfn.XLOOKUP($C668,'Plaza SP Tar'!$C:$C,'Plaza SP Tar'!I:I)</f>
        <v>7489288.5087290546</v>
      </c>
      <c r="N668" s="1">
        <v>40000</v>
      </c>
      <c r="O668" s="1">
        <f>_xlfn.XLOOKUP($C668,'Plaza SP Tar'!$C:$C,'Plaza SP Tar'!J:J)</f>
        <v>8065387.6247851355</v>
      </c>
      <c r="P668" s="1">
        <v>45000</v>
      </c>
      <c r="Q668" s="1">
        <f>_xlfn.XLOOKUP($C668,'Plaza SP Tar'!$C:$C,'Plaza SP Tar'!K:K)</f>
        <v>8641486.7408412173</v>
      </c>
      <c r="R668">
        <v>50000</v>
      </c>
    </row>
    <row r="669" spans="1:18" x14ac:dyDescent="0.25">
      <c r="A669" t="s">
        <v>685</v>
      </c>
      <c r="B669" t="s">
        <v>727</v>
      </c>
      <c r="C669" t="s">
        <v>728</v>
      </c>
      <c r="D669" s="1">
        <v>6882362</v>
      </c>
      <c r="E669" s="1">
        <f>_xlfn.XLOOKUP($C669,'Plaza SP Tar'!$C:$C,'Plaza SP Tar'!E:E)</f>
        <v>7512318.3994694799</v>
      </c>
      <c r="F669" s="1">
        <v>10000</v>
      </c>
      <c r="G669" s="1">
        <f>_xlfn.XLOOKUP($C669,'Plaza SP Tar'!$C:$C,'Plaza SP Tar'!F:F)</f>
        <v>8585506.7422508337</v>
      </c>
      <c r="H669" s="1">
        <v>18000</v>
      </c>
      <c r="I669" s="1">
        <f>_xlfn.XLOOKUP($C669,'Plaza SP Tar'!$C:$C,'Plaza SP Tar'!G:G)</f>
        <v>9444057.4164759163</v>
      </c>
      <c r="J669" s="1">
        <v>25000</v>
      </c>
      <c r="K669" s="1">
        <f>_xlfn.XLOOKUP($C669,'Plaza SP Tar'!$C:$C,'Plaza SP Tar'!H:H)</f>
        <v>10302608.090701001</v>
      </c>
      <c r="L669" s="1">
        <v>30000</v>
      </c>
      <c r="M669" s="1">
        <f>_xlfn.XLOOKUP($C669,'Plaza SP Tar'!$C:$C,'Plaza SP Tar'!I:I)</f>
        <v>11161158.764926085</v>
      </c>
      <c r="N669" s="1">
        <v>40000</v>
      </c>
      <c r="O669" s="1">
        <f>_xlfn.XLOOKUP($C669,'Plaza SP Tar'!$C:$C,'Plaza SP Tar'!J:J)</f>
        <v>12019709.439151166</v>
      </c>
      <c r="P669" s="1">
        <v>45000</v>
      </c>
      <c r="Q669" s="1">
        <f>_xlfn.XLOOKUP($C669,'Plaza SP Tar'!$C:$C,'Plaza SP Tar'!K:K)</f>
        <v>12878260.11337625</v>
      </c>
      <c r="R669">
        <v>50000</v>
      </c>
    </row>
    <row r="670" spans="1:18" x14ac:dyDescent="0.25">
      <c r="A670" t="s">
        <v>685</v>
      </c>
      <c r="B670" t="s">
        <v>727</v>
      </c>
      <c r="C670" t="s">
        <v>729</v>
      </c>
      <c r="D670" s="1">
        <v>2955364</v>
      </c>
      <c r="E670" s="1">
        <f>_xlfn.XLOOKUP($C670,'Plaza SP Tar'!$C:$C,'Plaza SP Tar'!E:E)</f>
        <v>3225874.395204687</v>
      </c>
      <c r="F670" s="1">
        <v>10000</v>
      </c>
      <c r="G670" s="1">
        <f>_xlfn.XLOOKUP($C670,'Plaza SP Tar'!$C:$C,'Plaza SP Tar'!F:F)</f>
        <v>3686713.5945196422</v>
      </c>
      <c r="H670" s="1">
        <v>18000</v>
      </c>
      <c r="I670" s="1">
        <f>_xlfn.XLOOKUP($C670,'Plaza SP Tar'!$C:$C,'Plaza SP Tar'!G:G)</f>
        <v>4055384.9539716062</v>
      </c>
      <c r="J670" s="1">
        <v>25000</v>
      </c>
      <c r="K670" s="1">
        <f>_xlfn.XLOOKUP($C670,'Plaza SP Tar'!$C:$C,'Plaza SP Tar'!H:H)</f>
        <v>4424056.3134235702</v>
      </c>
      <c r="L670" s="1">
        <v>30000</v>
      </c>
      <c r="M670" s="1">
        <f>_xlfn.XLOOKUP($C670,'Plaza SP Tar'!$C:$C,'Plaza SP Tar'!I:I)</f>
        <v>4792727.6728755347</v>
      </c>
      <c r="N670" s="1">
        <v>40000</v>
      </c>
      <c r="O670" s="1">
        <f>_xlfn.XLOOKUP($C670,'Plaza SP Tar'!$C:$C,'Plaza SP Tar'!J:J)</f>
        <v>5161399.0323274983</v>
      </c>
      <c r="P670" s="1">
        <v>45000</v>
      </c>
      <c r="Q670" s="1">
        <f>_xlfn.XLOOKUP($C670,'Plaza SP Tar'!$C:$C,'Plaza SP Tar'!K:K)</f>
        <v>5530070.3917794628</v>
      </c>
      <c r="R670">
        <v>50000</v>
      </c>
    </row>
    <row r="671" spans="1:18" x14ac:dyDescent="0.25">
      <c r="A671" t="s">
        <v>685</v>
      </c>
      <c r="B671" t="s">
        <v>727</v>
      </c>
      <c r="C671" t="s">
        <v>730</v>
      </c>
      <c r="D671" s="1">
        <v>7614104</v>
      </c>
      <c r="E671" s="1">
        <f>_xlfn.XLOOKUP($C671,'Plaza SP Tar'!$C:$C,'Plaza SP Tar'!E:E)</f>
        <v>8311038.2125604795</v>
      </c>
      <c r="F671" s="1">
        <v>10000</v>
      </c>
      <c r="G671" s="1">
        <f>_xlfn.XLOOKUP($C671,'Plaza SP Tar'!$C:$C,'Plaza SP Tar'!F:F)</f>
        <v>9498329.3857834041</v>
      </c>
      <c r="H671" s="1">
        <v>18000</v>
      </c>
      <c r="I671" s="1">
        <f>_xlfn.XLOOKUP($C671,'Plaza SP Tar'!$C:$C,'Plaza SP Tar'!G:G)</f>
        <v>10448162.324361743</v>
      </c>
      <c r="J671" s="1">
        <v>25000</v>
      </c>
      <c r="K671" s="1">
        <f>_xlfn.XLOOKUP($C671,'Plaza SP Tar'!$C:$C,'Plaza SP Tar'!H:H)</f>
        <v>11397995.262940085</v>
      </c>
      <c r="L671" s="1">
        <v>30000</v>
      </c>
      <c r="M671" s="1">
        <f>_xlfn.XLOOKUP($C671,'Plaza SP Tar'!$C:$C,'Plaza SP Tar'!I:I)</f>
        <v>12347828.201518426</v>
      </c>
      <c r="N671" s="1">
        <v>40000</v>
      </c>
      <c r="O671" s="1">
        <f>_xlfn.XLOOKUP($C671,'Plaza SP Tar'!$C:$C,'Plaza SP Tar'!J:J)</f>
        <v>13297661.140096765</v>
      </c>
      <c r="P671" s="1">
        <v>45000</v>
      </c>
      <c r="Q671" s="1">
        <f>_xlfn.XLOOKUP($C671,'Plaza SP Tar'!$C:$C,'Plaza SP Tar'!K:K)</f>
        <v>14247494.078675106</v>
      </c>
      <c r="R671">
        <v>50000</v>
      </c>
    </row>
    <row r="672" spans="1:18" x14ac:dyDescent="0.25">
      <c r="A672" t="s">
        <v>685</v>
      </c>
      <c r="B672" t="s">
        <v>727</v>
      </c>
      <c r="C672" t="s">
        <v>731</v>
      </c>
      <c r="D672" s="1">
        <v>3322853</v>
      </c>
      <c r="E672" s="1">
        <f>_xlfn.XLOOKUP($C672,'Plaza SP Tar'!$C:$C,'Plaza SP Tar'!E:E)</f>
        <v>3627000.4005357986</v>
      </c>
      <c r="F672" s="1">
        <v>10000</v>
      </c>
      <c r="G672" s="1">
        <f>_xlfn.XLOOKUP($C672,'Plaza SP Tar'!$C:$C,'Plaza SP Tar'!F:F)</f>
        <v>4145143.3148980555</v>
      </c>
      <c r="H672" s="1">
        <v>18000</v>
      </c>
      <c r="I672" s="1">
        <f>_xlfn.XLOOKUP($C672,'Plaza SP Tar'!$C:$C,'Plaza SP Tar'!G:G)</f>
        <v>4559657.6463878602</v>
      </c>
      <c r="J672" s="1">
        <v>25000</v>
      </c>
      <c r="K672" s="1">
        <f>_xlfn.XLOOKUP($C672,'Plaza SP Tar'!$C:$C,'Plaza SP Tar'!H:H)</f>
        <v>4974171.9778776662</v>
      </c>
      <c r="L672" s="1">
        <v>30000</v>
      </c>
      <c r="M672" s="1">
        <f>_xlfn.XLOOKUP($C672,'Plaza SP Tar'!$C:$C,'Plaza SP Tar'!I:I)</f>
        <v>5388686.3093674723</v>
      </c>
      <c r="N672" s="1">
        <v>40000</v>
      </c>
      <c r="O672" s="1">
        <f>_xlfn.XLOOKUP($C672,'Plaza SP Tar'!$C:$C,'Plaza SP Tar'!J:J)</f>
        <v>5803200.6408572774</v>
      </c>
      <c r="P672" s="1">
        <v>45000</v>
      </c>
      <c r="Q672" s="1">
        <f>_xlfn.XLOOKUP($C672,'Plaza SP Tar'!$C:$C,'Plaza SP Tar'!K:K)</f>
        <v>6217714.9723470826</v>
      </c>
      <c r="R672">
        <v>50000</v>
      </c>
    </row>
    <row r="673" spans="1:18" x14ac:dyDescent="0.25">
      <c r="A673" t="s">
        <v>685</v>
      </c>
      <c r="B673" t="s">
        <v>727</v>
      </c>
      <c r="C673" t="s">
        <v>732</v>
      </c>
      <c r="D673" s="1">
        <v>3904230</v>
      </c>
      <c r="E673" s="1">
        <f>_xlfn.XLOOKUP($C673,'Plaza SP Tar'!$C:$C,'Plaza SP Tar'!E:E)</f>
        <v>4261592.0035535367</v>
      </c>
      <c r="F673" s="1">
        <v>10000</v>
      </c>
      <c r="G673" s="1">
        <f>_xlfn.XLOOKUP($C673,'Plaza SP Tar'!$C:$C,'Plaza SP Tar'!F:F)</f>
        <v>4870390.8612040421</v>
      </c>
      <c r="H673" s="1">
        <v>18000</v>
      </c>
      <c r="I673" s="1">
        <f>_xlfn.XLOOKUP($C673,'Plaza SP Tar'!$C:$C,'Plaza SP Tar'!G:G)</f>
        <v>5357429.9473244455</v>
      </c>
      <c r="J673" s="1">
        <v>25000</v>
      </c>
      <c r="K673" s="1">
        <f>_xlfn.XLOOKUP($C673,'Plaza SP Tar'!$C:$C,'Plaza SP Tar'!H:H)</f>
        <v>5844469.0334448507</v>
      </c>
      <c r="L673" s="1">
        <v>30000</v>
      </c>
      <c r="M673" s="1">
        <f>_xlfn.XLOOKUP($C673,'Plaza SP Tar'!$C:$C,'Plaza SP Tar'!I:I)</f>
        <v>6331508.119565255</v>
      </c>
      <c r="N673" s="1">
        <v>40000</v>
      </c>
      <c r="O673" s="1">
        <f>_xlfn.XLOOKUP($C673,'Plaza SP Tar'!$C:$C,'Plaza SP Tar'!J:J)</f>
        <v>6818547.2056856584</v>
      </c>
      <c r="P673" s="1">
        <v>45000</v>
      </c>
      <c r="Q673" s="1">
        <f>_xlfn.XLOOKUP($C673,'Plaza SP Tar'!$C:$C,'Plaza SP Tar'!K:K)</f>
        <v>7305586.2918060627</v>
      </c>
      <c r="R673">
        <v>50000</v>
      </c>
    </row>
    <row r="674" spans="1:18" x14ac:dyDescent="0.25">
      <c r="A674" t="s">
        <v>685</v>
      </c>
      <c r="B674" t="s">
        <v>727</v>
      </c>
      <c r="C674" t="s">
        <v>733</v>
      </c>
      <c r="D674" s="1">
        <v>4171689</v>
      </c>
      <c r="E674" s="1">
        <f>_xlfn.XLOOKUP($C674,'Plaza SP Tar'!$C:$C,'Plaza SP Tar'!E:E)</f>
        <v>4553532.062330409</v>
      </c>
      <c r="F674" s="1">
        <v>10000</v>
      </c>
      <c r="G674" s="1">
        <f>_xlfn.XLOOKUP($C674,'Plaza SP Tar'!$C:$C,'Plaza SP Tar'!F:F)</f>
        <v>5204036.6426633243</v>
      </c>
      <c r="H674" s="1">
        <v>18000</v>
      </c>
      <c r="I674" s="1">
        <f>_xlfn.XLOOKUP($C674,'Plaza SP Tar'!$C:$C,'Plaza SP Tar'!G:G)</f>
        <v>5724440.3069296554</v>
      </c>
      <c r="J674" s="1">
        <v>25000</v>
      </c>
      <c r="K674" s="1">
        <f>_xlfn.XLOOKUP($C674,'Plaza SP Tar'!$C:$C,'Plaza SP Tar'!H:H)</f>
        <v>6244843.9711959884</v>
      </c>
      <c r="L674" s="1">
        <v>30000</v>
      </c>
      <c r="M674" s="1">
        <f>_xlfn.XLOOKUP($C674,'Plaza SP Tar'!$C:$C,'Plaza SP Tar'!I:I)</f>
        <v>6765247.6354623213</v>
      </c>
      <c r="N674" s="1">
        <v>40000</v>
      </c>
      <c r="O674" s="1">
        <f>_xlfn.XLOOKUP($C674,'Plaza SP Tar'!$C:$C,'Plaza SP Tar'!J:J)</f>
        <v>7285651.2997286534</v>
      </c>
      <c r="P674" s="1">
        <v>45000</v>
      </c>
      <c r="Q674" s="1">
        <f>_xlfn.XLOOKUP($C674,'Plaza SP Tar'!$C:$C,'Plaza SP Tar'!K:K)</f>
        <v>7806054.9639949854</v>
      </c>
      <c r="R674">
        <v>50000</v>
      </c>
    </row>
    <row r="675" spans="1:18" x14ac:dyDescent="0.25">
      <c r="A675" t="s">
        <v>685</v>
      </c>
      <c r="B675" t="s">
        <v>727</v>
      </c>
      <c r="C675" t="s">
        <v>734</v>
      </c>
      <c r="D675" s="1">
        <v>2437527</v>
      </c>
      <c r="E675" s="1">
        <f>_xlfn.XLOOKUP($C675,'Plaza SP Tar'!$C:$C,'Plaza SP Tar'!E:E)</f>
        <v>2660638.7358444156</v>
      </c>
      <c r="F675" s="1">
        <v>10000</v>
      </c>
      <c r="G675" s="1">
        <f>_xlfn.XLOOKUP($C675,'Plaza SP Tar'!$C:$C,'Plaza SP Tar'!F:F)</f>
        <v>3040729.9838221893</v>
      </c>
      <c r="H675" s="1">
        <v>18000</v>
      </c>
      <c r="I675" s="1">
        <f>_xlfn.XLOOKUP($C675,'Plaza SP Tar'!$C:$C,'Plaza SP Tar'!G:G)</f>
        <v>3344802.9822044075</v>
      </c>
      <c r="J675" s="1">
        <v>25000</v>
      </c>
      <c r="K675" s="1">
        <f>_xlfn.XLOOKUP($C675,'Plaza SP Tar'!$C:$C,'Plaza SP Tar'!H:H)</f>
        <v>3648875.9805866266</v>
      </c>
      <c r="L675" s="1">
        <v>30000</v>
      </c>
      <c r="M675" s="1">
        <f>_xlfn.XLOOKUP($C675,'Plaza SP Tar'!$C:$C,'Plaza SP Tar'!I:I)</f>
        <v>3952948.9789688457</v>
      </c>
      <c r="N675" s="1">
        <v>40000</v>
      </c>
      <c r="O675" s="1">
        <f>_xlfn.XLOOKUP($C675,'Plaza SP Tar'!$C:$C,'Plaza SP Tar'!J:J)</f>
        <v>4257021.9773510648</v>
      </c>
      <c r="P675" s="1">
        <v>45000</v>
      </c>
      <c r="Q675" s="1">
        <f>_xlfn.XLOOKUP($C675,'Plaza SP Tar'!$C:$C,'Plaza SP Tar'!K:K)</f>
        <v>4561094.975733283</v>
      </c>
      <c r="R675">
        <v>50000</v>
      </c>
    </row>
    <row r="676" spans="1:18" x14ac:dyDescent="0.25">
      <c r="A676" t="s">
        <v>685</v>
      </c>
      <c r="B676" t="s">
        <v>727</v>
      </c>
      <c r="C676" t="s">
        <v>735</v>
      </c>
      <c r="D676" s="1">
        <v>4515301</v>
      </c>
      <c r="E676" s="1">
        <f>_xlfn.XLOOKUP($C676,'Plaza SP Tar'!$C:$C,'Plaza SP Tar'!E:E)</f>
        <v>4928595.5579556758</v>
      </c>
      <c r="F676" s="1">
        <v>10000</v>
      </c>
      <c r="G676" s="1">
        <f>_xlfn.XLOOKUP($C676,'Plaza SP Tar'!$C:$C,'Plaza SP Tar'!F:F)</f>
        <v>5632680.6376636298</v>
      </c>
      <c r="H676" s="1">
        <v>18000</v>
      </c>
      <c r="I676" s="1">
        <f>_xlfn.XLOOKUP($C676,'Plaza SP Tar'!$C:$C,'Plaza SP Tar'!G:G)</f>
        <v>6195948.701429992</v>
      </c>
      <c r="J676" s="1">
        <v>25000</v>
      </c>
      <c r="K676" s="1">
        <f>_xlfn.XLOOKUP($C676,'Plaza SP Tar'!$C:$C,'Plaza SP Tar'!H:H)</f>
        <v>6759216.7651963551</v>
      </c>
      <c r="L676" s="1">
        <v>30000</v>
      </c>
      <c r="M676" s="1">
        <f>_xlfn.XLOOKUP($C676,'Plaza SP Tar'!$C:$C,'Plaza SP Tar'!I:I)</f>
        <v>7322484.8289627181</v>
      </c>
      <c r="N676" s="1">
        <v>40000</v>
      </c>
      <c r="O676" s="1">
        <f>_xlfn.XLOOKUP($C676,'Plaza SP Tar'!$C:$C,'Plaza SP Tar'!J:J)</f>
        <v>7885752.8927290812</v>
      </c>
      <c r="P676" s="1">
        <v>45000</v>
      </c>
      <c r="Q676" s="1">
        <f>_xlfn.XLOOKUP($C676,'Plaza SP Tar'!$C:$C,'Plaza SP Tar'!K:K)</f>
        <v>8449020.9564954434</v>
      </c>
      <c r="R676">
        <v>50000</v>
      </c>
    </row>
    <row r="677" spans="1:18" x14ac:dyDescent="0.25">
      <c r="A677" t="s">
        <v>685</v>
      </c>
      <c r="B677" t="s">
        <v>727</v>
      </c>
      <c r="C677" t="s">
        <v>736</v>
      </c>
      <c r="D677" s="1">
        <v>10108865</v>
      </c>
      <c r="E677" s="1">
        <f>_xlfn.XLOOKUP($C677,'Plaza SP Tar'!$C:$C,'Plaza SP Tar'!E:E)</f>
        <v>11034149.691232901</v>
      </c>
      <c r="F677" s="1">
        <v>10000</v>
      </c>
      <c r="G677" s="1">
        <f>_xlfn.XLOOKUP($C677,'Plaza SP Tar'!$C:$C,'Plaza SP Tar'!F:F)</f>
        <v>12610456.789980458</v>
      </c>
      <c r="H677" s="1">
        <v>18000</v>
      </c>
      <c r="I677" s="1">
        <f>_xlfn.XLOOKUP($C677,'Plaza SP Tar'!$C:$C,'Plaza SP Tar'!G:G)</f>
        <v>13871502.468978502</v>
      </c>
      <c r="J677" s="1">
        <v>25000</v>
      </c>
      <c r="K677" s="1">
        <f>_xlfn.XLOOKUP($C677,'Plaza SP Tar'!$C:$C,'Plaza SP Tar'!H:H)</f>
        <v>15132548.147976547</v>
      </c>
      <c r="L677" s="1">
        <v>30000</v>
      </c>
      <c r="M677" s="1">
        <f>_xlfn.XLOOKUP($C677,'Plaza SP Tar'!$C:$C,'Plaza SP Tar'!I:I)</f>
        <v>16393593.826974595</v>
      </c>
      <c r="N677" s="1">
        <v>40000</v>
      </c>
      <c r="O677" s="1">
        <f>_xlfn.XLOOKUP($C677,'Plaza SP Tar'!$C:$C,'Plaza SP Tar'!J:J)</f>
        <v>17654639.505972639</v>
      </c>
      <c r="P677" s="1">
        <v>45000</v>
      </c>
      <c r="Q677" s="1">
        <f>_xlfn.XLOOKUP($C677,'Plaza SP Tar'!$C:$C,'Plaza SP Tar'!K:K)</f>
        <v>18915685.184970684</v>
      </c>
      <c r="R677">
        <v>50000</v>
      </c>
    </row>
    <row r="678" spans="1:18" x14ac:dyDescent="0.25">
      <c r="A678" t="s">
        <v>685</v>
      </c>
      <c r="B678" t="s">
        <v>727</v>
      </c>
      <c r="C678" t="s">
        <v>737</v>
      </c>
      <c r="D678" s="1">
        <v>3461746</v>
      </c>
      <c r="E678" s="1">
        <f>_xlfn.XLOOKUP($C678,'Plaza SP Tar'!$C:$C,'Plaza SP Tar'!E:E)</f>
        <v>3778606.5554369087</v>
      </c>
      <c r="F678" s="1">
        <v>10000</v>
      </c>
      <c r="G678" s="1">
        <f>_xlfn.XLOOKUP($C678,'Plaza SP Tar'!$C:$C,'Plaza SP Tar'!F:F)</f>
        <v>4318407.4919278957</v>
      </c>
      <c r="H678" s="1">
        <v>18000</v>
      </c>
      <c r="I678" s="1">
        <f>_xlfn.XLOOKUP($C678,'Plaza SP Tar'!$C:$C,'Plaza SP Tar'!G:G)</f>
        <v>4750248.2411206849</v>
      </c>
      <c r="J678" s="1">
        <v>25000</v>
      </c>
      <c r="K678" s="1">
        <f>_xlfn.XLOOKUP($C678,'Plaza SP Tar'!$C:$C,'Plaza SP Tar'!H:H)</f>
        <v>5182088.990313475</v>
      </c>
      <c r="L678" s="1">
        <v>30000</v>
      </c>
      <c r="M678" s="1">
        <f>_xlfn.XLOOKUP($C678,'Plaza SP Tar'!$C:$C,'Plaza SP Tar'!I:I)</f>
        <v>5613929.7395062642</v>
      </c>
      <c r="N678" s="1">
        <v>40000</v>
      </c>
      <c r="O678" s="1">
        <f>_xlfn.XLOOKUP($C678,'Plaza SP Tar'!$C:$C,'Plaza SP Tar'!J:J)</f>
        <v>6045770.4886990534</v>
      </c>
      <c r="P678" s="1">
        <v>45000</v>
      </c>
      <c r="Q678" s="1">
        <f>_xlfn.XLOOKUP($C678,'Plaza SP Tar'!$C:$C,'Plaza SP Tar'!K:K)</f>
        <v>6477611.2378918435</v>
      </c>
      <c r="R678">
        <v>50000</v>
      </c>
    </row>
    <row r="679" spans="1:18" x14ac:dyDescent="0.25">
      <c r="A679" t="s">
        <v>685</v>
      </c>
      <c r="B679" t="s">
        <v>727</v>
      </c>
      <c r="C679" t="s">
        <v>738</v>
      </c>
      <c r="D679" s="1">
        <v>4746783</v>
      </c>
      <c r="E679" s="1">
        <f>_xlfn.XLOOKUP($C679,'Plaza SP Tar'!$C:$C,'Plaza SP Tar'!E:E)</f>
        <v>5181265.5697548222</v>
      </c>
      <c r="F679" s="1">
        <v>10000</v>
      </c>
      <c r="G679" s="1">
        <f>_xlfn.XLOOKUP($C679,'Plaza SP Tar'!$C:$C,'Plaza SP Tar'!F:F)</f>
        <v>5921446.3654340822</v>
      </c>
      <c r="H679" s="1">
        <v>18000</v>
      </c>
      <c r="I679" s="1">
        <f>_xlfn.XLOOKUP($C679,'Plaza SP Tar'!$C:$C,'Plaza SP Tar'!G:G)</f>
        <v>6513591.0019774903</v>
      </c>
      <c r="J679" s="1">
        <v>25000</v>
      </c>
      <c r="K679" s="1">
        <f>_xlfn.XLOOKUP($C679,'Plaza SP Tar'!$C:$C,'Plaza SP Tar'!H:H)</f>
        <v>7105735.6385208983</v>
      </c>
      <c r="L679" s="1">
        <v>30000</v>
      </c>
      <c r="M679" s="1">
        <f>_xlfn.XLOOKUP($C679,'Plaza SP Tar'!$C:$C,'Plaza SP Tar'!I:I)</f>
        <v>7697880.2750643073</v>
      </c>
      <c r="N679" s="1">
        <v>40000</v>
      </c>
      <c r="O679" s="1">
        <f>_xlfn.XLOOKUP($C679,'Plaza SP Tar'!$C:$C,'Plaza SP Tar'!J:J)</f>
        <v>8290024.9116077144</v>
      </c>
      <c r="P679" s="1">
        <v>45000</v>
      </c>
      <c r="Q679" s="1">
        <f>_xlfn.XLOOKUP($C679,'Plaza SP Tar'!$C:$C,'Plaza SP Tar'!K:K)</f>
        <v>8882169.5481511224</v>
      </c>
      <c r="R679">
        <v>50000</v>
      </c>
    </row>
    <row r="680" spans="1:18" x14ac:dyDescent="0.25">
      <c r="A680" t="s">
        <v>685</v>
      </c>
      <c r="B680" t="s">
        <v>727</v>
      </c>
      <c r="C680" t="s">
        <v>739</v>
      </c>
      <c r="D680" s="1">
        <v>5836571</v>
      </c>
      <c r="E680" s="1">
        <f>_xlfn.XLOOKUP($C680,'Plaza SP Tar'!$C:$C,'Plaza SP Tar'!E:E)</f>
        <v>6370804.051444836</v>
      </c>
      <c r="F680" s="1">
        <v>10000</v>
      </c>
      <c r="G680" s="1">
        <f>_xlfn.XLOOKUP($C680,'Plaza SP Tar'!$C:$C,'Plaza SP Tar'!F:F)</f>
        <v>7280918.9159369553</v>
      </c>
      <c r="H680" s="1">
        <v>18000</v>
      </c>
      <c r="I680" s="1">
        <f>_xlfn.XLOOKUP($C680,'Plaza SP Tar'!$C:$C,'Plaza SP Tar'!G:G)</f>
        <v>8009010.8075306499</v>
      </c>
      <c r="J680" s="1">
        <v>25000</v>
      </c>
      <c r="K680" s="1">
        <f>_xlfn.XLOOKUP($C680,'Plaza SP Tar'!$C:$C,'Plaza SP Tar'!H:H)</f>
        <v>8737102.6991243456</v>
      </c>
      <c r="L680" s="1">
        <v>30000</v>
      </c>
      <c r="M680" s="1">
        <f>_xlfn.XLOOKUP($C680,'Plaza SP Tar'!$C:$C,'Plaza SP Tar'!I:I)</f>
        <v>9465194.5907180421</v>
      </c>
      <c r="N680" s="1">
        <v>40000</v>
      </c>
      <c r="O680" s="1">
        <f>_xlfn.XLOOKUP($C680,'Plaza SP Tar'!$C:$C,'Plaza SP Tar'!J:J)</f>
        <v>10193286.482311737</v>
      </c>
      <c r="P680" s="1">
        <v>45000</v>
      </c>
      <c r="Q680" s="1">
        <f>_xlfn.XLOOKUP($C680,'Plaza SP Tar'!$C:$C,'Plaza SP Tar'!K:K)</f>
        <v>10921378.373905431</v>
      </c>
      <c r="R680">
        <v>50000</v>
      </c>
    </row>
    <row r="681" spans="1:18" x14ac:dyDescent="0.25">
      <c r="A681" t="s">
        <v>685</v>
      </c>
      <c r="B681" t="s">
        <v>727</v>
      </c>
      <c r="C681" t="s">
        <v>740</v>
      </c>
      <c r="D681" s="1">
        <v>4510683</v>
      </c>
      <c r="E681" s="1">
        <f>_xlfn.XLOOKUP($C681,'Plaza SP Tar'!$C:$C,'Plaza SP Tar'!E:E)</f>
        <v>4923554.8631522423</v>
      </c>
      <c r="F681" s="1">
        <v>10000</v>
      </c>
      <c r="G681" s="1">
        <f>_xlfn.XLOOKUP($C681,'Plaza SP Tar'!$C:$C,'Plaza SP Tar'!F:F)</f>
        <v>5626919.8436025623</v>
      </c>
      <c r="H681" s="1">
        <v>18000</v>
      </c>
      <c r="I681" s="1">
        <f>_xlfn.XLOOKUP($C681,'Plaza SP Tar'!$C:$C,'Plaza SP Tar'!G:G)</f>
        <v>6189611.8279628186</v>
      </c>
      <c r="J681" s="1">
        <v>25000</v>
      </c>
      <c r="K681" s="1">
        <f>_xlfn.XLOOKUP($C681,'Plaza SP Tar'!$C:$C,'Plaza SP Tar'!H:H)</f>
        <v>6752303.8123230748</v>
      </c>
      <c r="L681" s="1">
        <v>30000</v>
      </c>
      <c r="M681" s="1">
        <f>_xlfn.XLOOKUP($C681,'Plaza SP Tar'!$C:$C,'Plaza SP Tar'!I:I)</f>
        <v>7314995.796683331</v>
      </c>
      <c r="N681" s="1">
        <v>40000</v>
      </c>
      <c r="O681" s="1">
        <f>_xlfn.XLOOKUP($C681,'Plaza SP Tar'!$C:$C,'Plaza SP Tar'!J:J)</f>
        <v>7877687.7810435863</v>
      </c>
      <c r="P681" s="1">
        <v>45000</v>
      </c>
      <c r="Q681" s="1">
        <f>_xlfn.XLOOKUP($C681,'Plaza SP Tar'!$C:$C,'Plaza SP Tar'!K:K)</f>
        <v>8440379.7654038426</v>
      </c>
      <c r="R681">
        <v>50000</v>
      </c>
    </row>
    <row r="682" spans="1:18" x14ac:dyDescent="0.25">
      <c r="A682" t="s">
        <v>685</v>
      </c>
      <c r="B682" t="s">
        <v>741</v>
      </c>
      <c r="C682" t="s">
        <v>742</v>
      </c>
      <c r="D682" s="1">
        <v>5172843</v>
      </c>
      <c r="E682" s="1">
        <f>_xlfn.XLOOKUP($C682,'Plaza SP Tar'!$C:$C,'Plaza SP Tar'!E:E)</f>
        <v>5646323.6962058814</v>
      </c>
      <c r="F682" s="1">
        <v>10000</v>
      </c>
      <c r="G682" s="1">
        <f>_xlfn.XLOOKUP($C682,'Plaza SP Tar'!$C:$C,'Plaza SP Tar'!F:F)</f>
        <v>6452941.3670924362</v>
      </c>
      <c r="H682" s="1">
        <v>18000</v>
      </c>
      <c r="I682" s="1">
        <f>_xlfn.XLOOKUP($C682,'Plaza SP Tar'!$C:$C,'Plaza SP Tar'!G:G)</f>
        <v>7098235.5038016792</v>
      </c>
      <c r="J682" s="1">
        <v>25000</v>
      </c>
      <c r="K682" s="1">
        <f>_xlfn.XLOOKUP($C682,'Plaza SP Tar'!$C:$C,'Plaza SP Tar'!H:H)</f>
        <v>7743529.6405109223</v>
      </c>
      <c r="L682" s="1">
        <v>30000</v>
      </c>
      <c r="M682" s="1">
        <f>_xlfn.XLOOKUP($C682,'Plaza SP Tar'!$C:$C,'Plaza SP Tar'!I:I)</f>
        <v>8388823.7772201672</v>
      </c>
      <c r="N682" s="1">
        <v>40000</v>
      </c>
      <c r="O682" s="1">
        <f>_xlfn.XLOOKUP($C682,'Plaza SP Tar'!$C:$C,'Plaza SP Tar'!J:J)</f>
        <v>9034117.9139294103</v>
      </c>
      <c r="P682" s="1">
        <v>45000</v>
      </c>
      <c r="Q682" s="1">
        <f>_xlfn.XLOOKUP($C682,'Plaza SP Tar'!$C:$C,'Plaza SP Tar'!K:K)</f>
        <v>9679412.0506386533</v>
      </c>
      <c r="R682">
        <v>50000</v>
      </c>
    </row>
    <row r="683" spans="1:18" x14ac:dyDescent="0.25">
      <c r="A683" t="s">
        <v>685</v>
      </c>
      <c r="B683" t="s">
        <v>741</v>
      </c>
      <c r="C683" t="s">
        <v>743</v>
      </c>
      <c r="D683" s="1">
        <v>3219225</v>
      </c>
      <c r="E683" s="1">
        <f>_xlfn.XLOOKUP($C683,'Plaza SP Tar'!$C:$C,'Plaza SP Tar'!E:E)</f>
        <v>3513887.1218241844</v>
      </c>
      <c r="F683" s="1">
        <v>10000</v>
      </c>
      <c r="G683" s="1">
        <f>_xlfn.XLOOKUP($C683,'Plaza SP Tar'!$C:$C,'Plaza SP Tar'!F:F)</f>
        <v>4015870.9963704962</v>
      </c>
      <c r="H683" s="1">
        <v>18000</v>
      </c>
      <c r="I683" s="1">
        <f>_xlfn.XLOOKUP($C683,'Plaza SP Tar'!$C:$C,'Plaza SP Tar'!G:G)</f>
        <v>4417458.0960075455</v>
      </c>
      <c r="J683" s="1">
        <v>25000</v>
      </c>
      <c r="K683" s="1">
        <f>_xlfn.XLOOKUP($C683,'Plaza SP Tar'!$C:$C,'Plaza SP Tar'!H:H)</f>
        <v>4819045.1956445957</v>
      </c>
      <c r="L683" s="1">
        <v>30000</v>
      </c>
      <c r="M683" s="1">
        <f>_xlfn.XLOOKUP($C683,'Plaza SP Tar'!$C:$C,'Plaza SP Tar'!I:I)</f>
        <v>5220632.2952816449</v>
      </c>
      <c r="N683" s="1">
        <v>40000</v>
      </c>
      <c r="O683" s="1">
        <f>_xlfn.XLOOKUP($C683,'Plaza SP Tar'!$C:$C,'Plaza SP Tar'!J:J)</f>
        <v>5622219.3949186942</v>
      </c>
      <c r="P683" s="1">
        <v>45000</v>
      </c>
      <c r="Q683" s="1">
        <f>_xlfn.XLOOKUP($C683,'Plaza SP Tar'!$C:$C,'Plaza SP Tar'!K:K)</f>
        <v>6023806.4945557443</v>
      </c>
      <c r="R683">
        <v>50000</v>
      </c>
    </row>
    <row r="684" spans="1:18" x14ac:dyDescent="0.25">
      <c r="A684" t="s">
        <v>685</v>
      </c>
      <c r="B684" t="s">
        <v>741</v>
      </c>
      <c r="C684" t="s">
        <v>744</v>
      </c>
      <c r="D684" s="1">
        <v>3601712</v>
      </c>
      <c r="E684" s="1">
        <f>_xlfn.XLOOKUP($C684,'Plaza SP Tar'!$C:$C,'Plaza SP Tar'!E:E)</f>
        <v>3931383.9241803931</v>
      </c>
      <c r="F684" s="1">
        <v>10000</v>
      </c>
      <c r="G684" s="1">
        <f>_xlfn.XLOOKUP($C684,'Plaza SP Tar'!$C:$C,'Plaza SP Tar'!F:F)</f>
        <v>4493010.1990633067</v>
      </c>
      <c r="H684" s="1">
        <v>18000</v>
      </c>
      <c r="I684" s="1">
        <f>_xlfn.XLOOKUP($C684,'Plaza SP Tar'!$C:$C,'Plaza SP Tar'!G:G)</f>
        <v>4942311.2189696366</v>
      </c>
      <c r="J684" s="1">
        <v>25000</v>
      </c>
      <c r="K684" s="1">
        <f>_xlfn.XLOOKUP($C684,'Plaza SP Tar'!$C:$C,'Plaza SP Tar'!H:H)</f>
        <v>5391612.2388759675</v>
      </c>
      <c r="L684" s="1">
        <v>30000</v>
      </c>
      <c r="M684" s="1">
        <f>_xlfn.XLOOKUP($C684,'Plaza SP Tar'!$C:$C,'Plaza SP Tar'!I:I)</f>
        <v>5840913.2587822983</v>
      </c>
      <c r="N684" s="1">
        <v>40000</v>
      </c>
      <c r="O684" s="1">
        <f>_xlfn.XLOOKUP($C684,'Plaza SP Tar'!$C:$C,'Plaza SP Tar'!J:J)</f>
        <v>6290214.2786886282</v>
      </c>
      <c r="P684" s="1">
        <v>45000</v>
      </c>
      <c r="Q684" s="1">
        <f>_xlfn.XLOOKUP($C684,'Plaza SP Tar'!$C:$C,'Plaza SP Tar'!K:K)</f>
        <v>6739515.2985949591</v>
      </c>
      <c r="R684">
        <v>50000</v>
      </c>
    </row>
    <row r="685" spans="1:18" x14ac:dyDescent="0.25">
      <c r="A685" t="s">
        <v>685</v>
      </c>
      <c r="B685" t="s">
        <v>741</v>
      </c>
      <c r="C685" t="s">
        <v>745</v>
      </c>
      <c r="D685" s="1">
        <v>6447978</v>
      </c>
      <c r="E685" s="1">
        <f>_xlfn.XLOOKUP($C685,'Plaza SP Tar'!$C:$C,'Plaza SP Tar'!E:E)</f>
        <v>7038174.3606009707</v>
      </c>
      <c r="F685" s="1">
        <v>10000</v>
      </c>
      <c r="G685" s="1">
        <f>_xlfn.XLOOKUP($C685,'Plaza SP Tar'!$C:$C,'Plaza SP Tar'!F:F)</f>
        <v>8043627.8406868242</v>
      </c>
      <c r="H685" s="1">
        <v>18000</v>
      </c>
      <c r="I685" s="1">
        <f>_xlfn.XLOOKUP($C685,'Plaza SP Tar'!$C:$C,'Plaza SP Tar'!G:G)</f>
        <v>8847990.6247555055</v>
      </c>
      <c r="J685" s="1">
        <v>25000</v>
      </c>
      <c r="K685" s="1">
        <f>_xlfn.XLOOKUP($C685,'Plaza SP Tar'!$C:$C,'Plaza SP Tar'!H:H)</f>
        <v>9652353.4088241886</v>
      </c>
      <c r="L685" s="1">
        <v>30000</v>
      </c>
      <c r="M685" s="1">
        <f>_xlfn.XLOOKUP($C685,'Plaza SP Tar'!$C:$C,'Plaza SP Tar'!I:I)</f>
        <v>10456716.19289287</v>
      </c>
      <c r="N685" s="1">
        <v>40000</v>
      </c>
      <c r="O685" s="1">
        <f>_xlfn.XLOOKUP($C685,'Plaza SP Tar'!$C:$C,'Plaza SP Tar'!J:J)</f>
        <v>11261078.976961551</v>
      </c>
      <c r="P685" s="1">
        <v>45000</v>
      </c>
      <c r="Q685" s="1">
        <f>_xlfn.XLOOKUP($C685,'Plaza SP Tar'!$C:$C,'Plaza SP Tar'!K:K)</f>
        <v>12065441.761030234</v>
      </c>
      <c r="R685">
        <v>50000</v>
      </c>
    </row>
    <row r="686" spans="1:18" x14ac:dyDescent="0.25">
      <c r="A686" t="s">
        <v>685</v>
      </c>
      <c r="B686" t="s">
        <v>741</v>
      </c>
      <c r="C686" t="s">
        <v>746</v>
      </c>
      <c r="D686" s="1">
        <v>4976854</v>
      </c>
      <c r="E686" s="1">
        <f>_xlfn.XLOOKUP($C686,'Plaza SP Tar'!$C:$C,'Plaza SP Tar'!E:E)</f>
        <v>5432395.4298935859</v>
      </c>
      <c r="F686" s="1">
        <v>10000</v>
      </c>
      <c r="G686" s="1">
        <f>_xlfn.XLOOKUP($C686,'Plaza SP Tar'!$C:$C,'Plaza SP Tar'!F:F)</f>
        <v>6208451.9198783841</v>
      </c>
      <c r="H686" s="1">
        <v>18000</v>
      </c>
      <c r="I686" s="1">
        <f>_xlfn.XLOOKUP($C686,'Plaza SP Tar'!$C:$C,'Plaza SP Tar'!G:G)</f>
        <v>6829297.1118662218</v>
      </c>
      <c r="J686" s="1">
        <v>25000</v>
      </c>
      <c r="K686" s="1">
        <f>_xlfn.XLOOKUP($C686,'Plaza SP Tar'!$C:$C,'Plaza SP Tar'!H:H)</f>
        <v>7450142.3038540604</v>
      </c>
      <c r="L686" s="1">
        <v>30000</v>
      </c>
      <c r="M686" s="1">
        <f>_xlfn.XLOOKUP($C686,'Plaza SP Tar'!$C:$C,'Plaza SP Tar'!I:I)</f>
        <v>8070987.495841899</v>
      </c>
      <c r="N686" s="1">
        <v>40000</v>
      </c>
      <c r="O686" s="1">
        <f>_xlfn.XLOOKUP($C686,'Plaza SP Tar'!$C:$C,'Plaza SP Tar'!J:J)</f>
        <v>8691832.6878297366</v>
      </c>
      <c r="P686" s="1">
        <v>45000</v>
      </c>
      <c r="Q686" s="1">
        <f>_xlfn.XLOOKUP($C686,'Plaza SP Tar'!$C:$C,'Plaza SP Tar'!K:K)</f>
        <v>9312677.8798175752</v>
      </c>
      <c r="R686">
        <v>50000</v>
      </c>
    </row>
    <row r="687" spans="1:18" x14ac:dyDescent="0.25">
      <c r="A687" t="s">
        <v>685</v>
      </c>
      <c r="B687" t="s">
        <v>741</v>
      </c>
      <c r="C687" t="s">
        <v>747</v>
      </c>
      <c r="D687" s="1">
        <v>2598836</v>
      </c>
      <c r="E687" s="1">
        <f>_xlfn.XLOOKUP($C687,'Plaza SP Tar'!$C:$C,'Plaza SP Tar'!E:E)</f>
        <v>2836712.6721906904</v>
      </c>
      <c r="F687" s="1">
        <v>10000</v>
      </c>
      <c r="G687" s="1">
        <f>_xlfn.XLOOKUP($C687,'Plaza SP Tar'!$C:$C,'Plaza SP Tar'!F:F)</f>
        <v>3241957.3396465033</v>
      </c>
      <c r="H687" s="1">
        <v>18000</v>
      </c>
      <c r="I687" s="1">
        <f>_xlfn.XLOOKUP($C687,'Plaza SP Tar'!$C:$C,'Plaza SP Tar'!G:G)</f>
        <v>3566153.0736111533</v>
      </c>
      <c r="J687" s="1">
        <v>25000</v>
      </c>
      <c r="K687" s="1">
        <f>_xlfn.XLOOKUP($C687,'Plaza SP Tar'!$C:$C,'Plaza SP Tar'!H:H)</f>
        <v>3890348.8075758042</v>
      </c>
      <c r="L687" s="1">
        <v>30000</v>
      </c>
      <c r="M687" s="1">
        <f>_xlfn.XLOOKUP($C687,'Plaza SP Tar'!$C:$C,'Plaza SP Tar'!I:I)</f>
        <v>4214544.5415404541</v>
      </c>
      <c r="N687" s="1">
        <v>40000</v>
      </c>
      <c r="O687" s="1">
        <f>_xlfn.XLOOKUP($C687,'Plaza SP Tar'!$C:$C,'Plaza SP Tar'!J:J)</f>
        <v>4538740.2755051041</v>
      </c>
      <c r="P687" s="1">
        <v>45000</v>
      </c>
      <c r="Q687" s="1">
        <f>_xlfn.XLOOKUP($C687,'Plaza SP Tar'!$C:$C,'Plaza SP Tar'!K:K)</f>
        <v>4862936.009469755</v>
      </c>
      <c r="R687">
        <v>50000</v>
      </c>
    </row>
    <row r="688" spans="1:18" x14ac:dyDescent="0.25">
      <c r="A688" t="s">
        <v>685</v>
      </c>
      <c r="B688" t="s">
        <v>741</v>
      </c>
      <c r="C688" t="s">
        <v>748</v>
      </c>
      <c r="D688" s="1">
        <v>3357812</v>
      </c>
      <c r="E688" s="1">
        <f>_xlfn.XLOOKUP($C688,'Plaza SP Tar'!$C:$C,'Plaza SP Tar'!E:E)</f>
        <v>3665159.2679314767</v>
      </c>
      <c r="F688" s="1">
        <v>10000</v>
      </c>
      <c r="G688" s="1">
        <f>_xlfn.XLOOKUP($C688,'Plaza SP Tar'!$C:$C,'Plaza SP Tar'!F:F)</f>
        <v>4188753.4490645449</v>
      </c>
      <c r="H688" s="1">
        <v>18000</v>
      </c>
      <c r="I688" s="1">
        <f>_xlfn.XLOOKUP($C688,'Plaza SP Tar'!$C:$C,'Plaza SP Tar'!G:G)</f>
        <v>4607628.7939709984</v>
      </c>
      <c r="J688" s="1">
        <v>25000</v>
      </c>
      <c r="K688" s="1">
        <f>_xlfn.XLOOKUP($C688,'Plaza SP Tar'!$C:$C,'Plaza SP Tar'!H:H)</f>
        <v>5026504.1388774533</v>
      </c>
      <c r="L688" s="1">
        <v>30000</v>
      </c>
      <c r="M688" s="1">
        <f>_xlfn.XLOOKUP($C688,'Plaza SP Tar'!$C:$C,'Plaza SP Tar'!I:I)</f>
        <v>5445379.4837839082</v>
      </c>
      <c r="N688" s="1">
        <v>40000</v>
      </c>
      <c r="O688" s="1">
        <f>_xlfn.XLOOKUP($C688,'Plaza SP Tar'!$C:$C,'Plaza SP Tar'!J:J)</f>
        <v>5864254.8286903622</v>
      </c>
      <c r="P688" s="1">
        <v>45000</v>
      </c>
      <c r="Q688" s="1">
        <f>_xlfn.XLOOKUP($C688,'Plaza SP Tar'!$C:$C,'Plaza SP Tar'!K:K)</f>
        <v>6283130.1735968171</v>
      </c>
      <c r="R688">
        <v>50000</v>
      </c>
    </row>
    <row r="689" spans="1:18" x14ac:dyDescent="0.25">
      <c r="A689" t="s">
        <v>685</v>
      </c>
      <c r="B689" t="s">
        <v>741</v>
      </c>
      <c r="C689" t="s">
        <v>749</v>
      </c>
      <c r="D689" s="1">
        <v>7758608</v>
      </c>
      <c r="E689" s="1">
        <f>_xlfn.XLOOKUP($C689,'Plaza SP Tar'!$C:$C,'Plaza SP Tar'!E:E)</f>
        <v>8468768.9535469227</v>
      </c>
      <c r="F689" s="1">
        <v>10000</v>
      </c>
      <c r="G689" s="1">
        <f>_xlfn.XLOOKUP($C689,'Plaza SP Tar'!$C:$C,'Plaza SP Tar'!F:F)</f>
        <v>9678593.0897679105</v>
      </c>
      <c r="H689" s="1">
        <v>18000</v>
      </c>
      <c r="I689" s="1">
        <f>_xlfn.XLOOKUP($C689,'Plaza SP Tar'!$C:$C,'Plaza SP Tar'!G:G)</f>
        <v>10646452.3987447</v>
      </c>
      <c r="J689" s="1">
        <v>25000</v>
      </c>
      <c r="K689" s="1">
        <f>_xlfn.XLOOKUP($C689,'Plaza SP Tar'!$C:$C,'Plaza SP Tar'!H:H)</f>
        <v>11614311.707721492</v>
      </c>
      <c r="L689" s="1">
        <v>30000</v>
      </c>
      <c r="M689" s="1">
        <f>_xlfn.XLOOKUP($C689,'Plaza SP Tar'!$C:$C,'Plaza SP Tar'!I:I)</f>
        <v>12582171.016698284</v>
      </c>
      <c r="N689" s="1">
        <v>40000</v>
      </c>
      <c r="O689" s="1">
        <f>_xlfn.XLOOKUP($C689,'Plaza SP Tar'!$C:$C,'Plaza SP Tar'!J:J)</f>
        <v>13550030.325675074</v>
      </c>
      <c r="P689" s="1">
        <v>45000</v>
      </c>
      <c r="Q689" s="1">
        <f>_xlfn.XLOOKUP($C689,'Plaza SP Tar'!$C:$C,'Plaza SP Tar'!K:K)</f>
        <v>14517889.634651866</v>
      </c>
      <c r="R689">
        <v>50000</v>
      </c>
    </row>
    <row r="690" spans="1:18" x14ac:dyDescent="0.25">
      <c r="A690" t="s">
        <v>685</v>
      </c>
      <c r="B690" t="s">
        <v>741</v>
      </c>
      <c r="C690" t="s">
        <v>750</v>
      </c>
      <c r="D690" s="1">
        <v>4642931</v>
      </c>
      <c r="E690" s="1">
        <f>_xlfn.XLOOKUP($C690,'Plaza SP Tar'!$C:$C,'Plaza SP Tar'!E:E)</f>
        <v>5067907.7878738772</v>
      </c>
      <c r="F690" s="1">
        <v>10000</v>
      </c>
      <c r="G690" s="1">
        <f>_xlfn.XLOOKUP($C690,'Plaza SP Tar'!$C:$C,'Plaza SP Tar'!F:F)</f>
        <v>5791894.614713002</v>
      </c>
      <c r="H690" s="1">
        <v>18000</v>
      </c>
      <c r="I690" s="1">
        <f>_xlfn.XLOOKUP($C690,'Plaza SP Tar'!$C:$C,'Plaza SP Tar'!G:G)</f>
        <v>6371084.0761843016</v>
      </c>
      <c r="J690" s="1">
        <v>25000</v>
      </c>
      <c r="K690" s="1">
        <f>_xlfn.XLOOKUP($C690,'Plaza SP Tar'!$C:$C,'Plaza SP Tar'!H:H)</f>
        <v>6950273.5376556022</v>
      </c>
      <c r="L690" s="1">
        <v>30000</v>
      </c>
      <c r="M690" s="1">
        <f>_xlfn.XLOOKUP($C690,'Plaza SP Tar'!$C:$C,'Plaza SP Tar'!I:I)</f>
        <v>7529462.9991269028</v>
      </c>
      <c r="N690" s="1">
        <v>40000</v>
      </c>
      <c r="O690" s="1">
        <f>_xlfn.XLOOKUP($C690,'Plaza SP Tar'!$C:$C,'Plaza SP Tar'!J:J)</f>
        <v>8108652.4605982024</v>
      </c>
      <c r="P690" s="1">
        <v>45000</v>
      </c>
      <c r="Q690" s="1">
        <f>_xlfn.XLOOKUP($C690,'Plaza SP Tar'!$C:$C,'Plaza SP Tar'!K:K)</f>
        <v>8687841.922069503</v>
      </c>
      <c r="R690">
        <v>50000</v>
      </c>
    </row>
    <row r="691" spans="1:18" x14ac:dyDescent="0.25">
      <c r="A691" t="s">
        <v>685</v>
      </c>
      <c r="B691" t="s">
        <v>741</v>
      </c>
      <c r="C691" t="s">
        <v>751</v>
      </c>
      <c r="D691" s="1">
        <v>3576586</v>
      </c>
      <c r="E691" s="1">
        <f>_xlfn.XLOOKUP($C691,'Plaza SP Tar'!$C:$C,'Plaza SP Tar'!E:E)</f>
        <v>3903958.0909991292</v>
      </c>
      <c r="F691" s="1">
        <v>10000</v>
      </c>
      <c r="G691" s="1">
        <f>_xlfn.XLOOKUP($C691,'Plaza SP Tar'!$C:$C,'Plaza SP Tar'!F:F)</f>
        <v>4461666.3897132901</v>
      </c>
      <c r="H691" s="1">
        <v>18000</v>
      </c>
      <c r="I691" s="1">
        <f>_xlfn.XLOOKUP($C691,'Plaza SP Tar'!$C:$C,'Plaza SP Tar'!G:G)</f>
        <v>4907833.0286846189</v>
      </c>
      <c r="J691" s="1">
        <v>25000</v>
      </c>
      <c r="K691" s="1">
        <f>_xlfn.XLOOKUP($C691,'Plaza SP Tar'!$C:$C,'Plaza SP Tar'!H:H)</f>
        <v>5353999.6676559485</v>
      </c>
      <c r="L691" s="1">
        <v>30000</v>
      </c>
      <c r="M691" s="1">
        <f>_xlfn.XLOOKUP($C691,'Plaza SP Tar'!$C:$C,'Plaza SP Tar'!I:I)</f>
        <v>5800166.3066272773</v>
      </c>
      <c r="N691" s="1">
        <v>40000</v>
      </c>
      <c r="O691" s="1">
        <f>_xlfn.XLOOKUP($C691,'Plaza SP Tar'!$C:$C,'Plaza SP Tar'!J:J)</f>
        <v>6246332.945598606</v>
      </c>
      <c r="P691" s="1">
        <v>45000</v>
      </c>
      <c r="Q691" s="1">
        <f>_xlfn.XLOOKUP($C691,'Plaza SP Tar'!$C:$C,'Plaza SP Tar'!K:K)</f>
        <v>6692499.5845699357</v>
      </c>
      <c r="R691">
        <v>50000</v>
      </c>
    </row>
    <row r="692" spans="1:18" x14ac:dyDescent="0.25">
      <c r="A692" t="s">
        <v>685</v>
      </c>
      <c r="B692" t="s">
        <v>741</v>
      </c>
      <c r="C692" t="s">
        <v>752</v>
      </c>
      <c r="D692" s="1">
        <v>4959135</v>
      </c>
      <c r="E692" s="1">
        <f>_xlfn.XLOOKUP($C692,'Plaza SP Tar'!$C:$C,'Plaza SP Tar'!E:E)</f>
        <v>5413054.5742803244</v>
      </c>
      <c r="F692" s="1">
        <v>10000</v>
      </c>
      <c r="G692" s="1">
        <f>_xlfn.XLOOKUP($C692,'Plaza SP Tar'!$C:$C,'Plaza SP Tar'!F:F)</f>
        <v>6186348.0848917989</v>
      </c>
      <c r="H692" s="1">
        <v>18000</v>
      </c>
      <c r="I692" s="1">
        <f>_xlfn.XLOOKUP($C692,'Plaza SP Tar'!$C:$C,'Plaza SP Tar'!G:G)</f>
        <v>6804982.8933809781</v>
      </c>
      <c r="J692" s="1">
        <v>25000</v>
      </c>
      <c r="K692" s="1">
        <f>_xlfn.XLOOKUP($C692,'Plaza SP Tar'!$C:$C,'Plaza SP Tar'!H:H)</f>
        <v>7423617.7018701583</v>
      </c>
      <c r="L692" s="1">
        <v>30000</v>
      </c>
      <c r="M692" s="1">
        <f>_xlfn.XLOOKUP($C692,'Plaza SP Tar'!$C:$C,'Plaza SP Tar'!I:I)</f>
        <v>8042252.5103593385</v>
      </c>
      <c r="N692" s="1">
        <v>40000</v>
      </c>
      <c r="O692" s="1">
        <f>_xlfn.XLOOKUP($C692,'Plaza SP Tar'!$C:$C,'Plaza SP Tar'!J:J)</f>
        <v>8660887.3188485168</v>
      </c>
      <c r="P692" s="1">
        <v>45000</v>
      </c>
      <c r="Q692" s="1">
        <f>_xlfn.XLOOKUP($C692,'Plaza SP Tar'!$C:$C,'Plaza SP Tar'!K:K)</f>
        <v>9279522.1273376979</v>
      </c>
      <c r="R692">
        <v>50000</v>
      </c>
    </row>
    <row r="693" spans="1:18" x14ac:dyDescent="0.25">
      <c r="A693" t="s">
        <v>685</v>
      </c>
      <c r="B693" t="s">
        <v>741</v>
      </c>
      <c r="C693" t="s">
        <v>753</v>
      </c>
      <c r="D693" s="1">
        <v>3417026</v>
      </c>
      <c r="E693" s="1">
        <f>_xlfn.XLOOKUP($C693,'Plaza SP Tar'!$C:$C,'Plaza SP Tar'!E:E)</f>
        <v>3729793.2441312443</v>
      </c>
      <c r="F693" s="1">
        <v>10000</v>
      </c>
      <c r="G693" s="1">
        <f>_xlfn.XLOOKUP($C693,'Plaza SP Tar'!$C:$C,'Plaza SP Tar'!F:F)</f>
        <v>4262620.8504357077</v>
      </c>
      <c r="H693" s="1">
        <v>18000</v>
      </c>
      <c r="I693" s="1">
        <f>_xlfn.XLOOKUP($C693,'Plaza SP Tar'!$C:$C,'Plaza SP Tar'!G:G)</f>
        <v>4688882.9354792777</v>
      </c>
      <c r="J693" s="1">
        <v>25000</v>
      </c>
      <c r="K693" s="1">
        <f>_xlfn.XLOOKUP($C693,'Plaza SP Tar'!$C:$C,'Plaza SP Tar'!H:H)</f>
        <v>5115145.0205228487</v>
      </c>
      <c r="L693" s="1">
        <v>30000</v>
      </c>
      <c r="M693" s="1">
        <f>_xlfn.XLOOKUP($C693,'Plaza SP Tar'!$C:$C,'Plaza SP Tar'!I:I)</f>
        <v>5541407.1055664197</v>
      </c>
      <c r="N693" s="1">
        <v>40000</v>
      </c>
      <c r="O693" s="1">
        <f>_xlfn.XLOOKUP($C693,'Plaza SP Tar'!$C:$C,'Plaza SP Tar'!J:J)</f>
        <v>5967669.1906099906</v>
      </c>
      <c r="P693" s="1">
        <v>45000</v>
      </c>
      <c r="Q693" s="1">
        <f>_xlfn.XLOOKUP($C693,'Plaza SP Tar'!$C:$C,'Plaza SP Tar'!K:K)</f>
        <v>6393931.2756535616</v>
      </c>
      <c r="R693">
        <v>50000</v>
      </c>
    </row>
    <row r="694" spans="1:18" x14ac:dyDescent="0.25">
      <c r="A694" t="s">
        <v>685</v>
      </c>
      <c r="B694" t="s">
        <v>741</v>
      </c>
      <c r="C694" t="s">
        <v>754</v>
      </c>
      <c r="D694" s="1">
        <v>11346982</v>
      </c>
      <c r="E694" s="1">
        <f>_xlfn.XLOOKUP($C694,'Plaza SP Tar'!$C:$C,'Plaza SP Tar'!E:E)</f>
        <v>12385594.023832079</v>
      </c>
      <c r="F694" s="1">
        <v>10000</v>
      </c>
      <c r="G694" s="1">
        <f>_xlfn.XLOOKUP($C694,'Plaza SP Tar'!$C:$C,'Plaza SP Tar'!F:F)</f>
        <v>14154964.598665234</v>
      </c>
      <c r="H694" s="1">
        <v>18000</v>
      </c>
      <c r="I694" s="1">
        <f>_xlfn.XLOOKUP($C694,'Plaza SP Tar'!$C:$C,'Plaza SP Tar'!G:G)</f>
        <v>15570461.058531756</v>
      </c>
      <c r="J694" s="1">
        <v>25000</v>
      </c>
      <c r="K694" s="1">
        <f>_xlfn.XLOOKUP($C694,'Plaza SP Tar'!$C:$C,'Plaza SP Tar'!H:H)</f>
        <v>16985957.518398281</v>
      </c>
      <c r="L694" s="1">
        <v>30000</v>
      </c>
      <c r="M694" s="1">
        <f>_xlfn.XLOOKUP($C694,'Plaza SP Tar'!$C:$C,'Plaza SP Tar'!I:I)</f>
        <v>18401453.978264805</v>
      </c>
      <c r="N694" s="1">
        <v>40000</v>
      </c>
      <c r="O694" s="1">
        <f>_xlfn.XLOOKUP($C694,'Plaza SP Tar'!$C:$C,'Plaza SP Tar'!J:J)</f>
        <v>19816950.438131325</v>
      </c>
      <c r="P694" s="1">
        <v>45000</v>
      </c>
      <c r="Q694" s="1">
        <f>_xlfn.XLOOKUP($C694,'Plaza SP Tar'!$C:$C,'Plaza SP Tar'!K:K)</f>
        <v>21232446.897997849</v>
      </c>
      <c r="R694">
        <v>50000</v>
      </c>
    </row>
    <row r="695" spans="1:18" x14ac:dyDescent="0.25">
      <c r="A695" t="s">
        <v>685</v>
      </c>
      <c r="B695" t="s">
        <v>741</v>
      </c>
      <c r="C695" t="s">
        <v>755</v>
      </c>
      <c r="D695" s="1">
        <v>5208196</v>
      </c>
      <c r="E695" s="1">
        <f>_xlfn.XLOOKUP($C695,'Plaza SP Tar'!$C:$C,'Plaza SP Tar'!E:E)</f>
        <v>5684912.6272119004</v>
      </c>
      <c r="F695" s="1">
        <v>10000</v>
      </c>
      <c r="G695" s="1">
        <f>_xlfn.XLOOKUP($C695,'Plaza SP Tar'!$C:$C,'Plaza SP Tar'!F:F)</f>
        <v>6497043.0025278861</v>
      </c>
      <c r="H695" s="1">
        <v>18000</v>
      </c>
      <c r="I695" s="1">
        <f>_xlfn.XLOOKUP($C695,'Plaza SP Tar'!$C:$C,'Plaza SP Tar'!G:G)</f>
        <v>7146747.3027806738</v>
      </c>
      <c r="J695" s="1">
        <v>25000</v>
      </c>
      <c r="K695" s="1">
        <f>_xlfn.XLOOKUP($C695,'Plaza SP Tar'!$C:$C,'Plaza SP Tar'!H:H)</f>
        <v>7796451.6030334625</v>
      </c>
      <c r="L695" s="1">
        <v>30000</v>
      </c>
      <c r="M695" s="1">
        <f>_xlfn.XLOOKUP($C695,'Plaza SP Tar'!$C:$C,'Plaza SP Tar'!I:I)</f>
        <v>8446155.9032862522</v>
      </c>
      <c r="N695" s="1">
        <v>40000</v>
      </c>
      <c r="O695" s="1">
        <f>_xlfn.XLOOKUP($C695,'Plaza SP Tar'!$C:$C,'Plaza SP Tar'!J:J)</f>
        <v>9095860.2035390399</v>
      </c>
      <c r="P695" s="1">
        <v>45000</v>
      </c>
      <c r="Q695" s="1">
        <f>_xlfn.XLOOKUP($C695,'Plaza SP Tar'!$C:$C,'Plaza SP Tar'!K:K)</f>
        <v>9745564.5037918277</v>
      </c>
      <c r="R695">
        <v>50000</v>
      </c>
    </row>
    <row r="696" spans="1:18" x14ac:dyDescent="0.25">
      <c r="A696" t="s">
        <v>685</v>
      </c>
      <c r="B696" t="s">
        <v>741</v>
      </c>
      <c r="C696" t="s">
        <v>756</v>
      </c>
      <c r="D696" s="1">
        <v>3801799</v>
      </c>
      <c r="E696" s="1">
        <f>_xlfn.XLOOKUP($C696,'Plaza SP Tar'!$C:$C,'Plaza SP Tar'!E:E)</f>
        <v>4149785.2886530338</v>
      </c>
      <c r="F696" s="1">
        <v>10000</v>
      </c>
      <c r="G696" s="1">
        <f>_xlfn.XLOOKUP($C696,'Plaza SP Tar'!$C:$C,'Plaza SP Tar'!F:F)</f>
        <v>4742611.7584606102</v>
      </c>
      <c r="H696" s="1">
        <v>18000</v>
      </c>
      <c r="I696" s="1">
        <f>_xlfn.XLOOKUP($C696,'Plaza SP Tar'!$C:$C,'Plaza SP Tar'!G:G)</f>
        <v>5216872.93430667</v>
      </c>
      <c r="J696" s="1">
        <v>25000</v>
      </c>
      <c r="K696" s="1">
        <f>_xlfn.XLOOKUP($C696,'Plaza SP Tar'!$C:$C,'Plaza SP Tar'!H:H)</f>
        <v>5691134.1101527316</v>
      </c>
      <c r="L696" s="1">
        <v>30000</v>
      </c>
      <c r="M696" s="1">
        <f>_xlfn.XLOOKUP($C696,'Plaza SP Tar'!$C:$C,'Plaza SP Tar'!I:I)</f>
        <v>6165395.2859987924</v>
      </c>
      <c r="N696" s="1">
        <v>40000</v>
      </c>
      <c r="O696" s="1">
        <f>_xlfn.XLOOKUP($C696,'Plaza SP Tar'!$C:$C,'Plaza SP Tar'!J:J)</f>
        <v>6639656.4618448531</v>
      </c>
      <c r="P696" s="1">
        <v>45000</v>
      </c>
      <c r="Q696" s="1">
        <f>_xlfn.XLOOKUP($C696,'Plaza SP Tar'!$C:$C,'Plaza SP Tar'!K:K)</f>
        <v>7113917.6376909139</v>
      </c>
      <c r="R696">
        <v>50000</v>
      </c>
    </row>
    <row r="697" spans="1:18" x14ac:dyDescent="0.25">
      <c r="D697" s="1">
        <v>3206502403</v>
      </c>
      <c r="E697" s="1">
        <f t="shared" ref="E697:R697" si="0">SUM(E3:E696)</f>
        <v>3500000000.0000033</v>
      </c>
      <c r="F697" s="1">
        <f t="shared" si="0"/>
        <v>6940000</v>
      </c>
      <c r="G697" s="1">
        <f t="shared" si="0"/>
        <v>3999999999.9999952</v>
      </c>
      <c r="H697" s="1">
        <f t="shared" si="0"/>
        <v>12492000</v>
      </c>
      <c r="I697" s="1">
        <f t="shared" si="0"/>
        <v>4399999999.9999962</v>
      </c>
      <c r="J697" s="1">
        <f t="shared" si="0"/>
        <v>17350000</v>
      </c>
      <c r="K697" s="1">
        <f t="shared" si="0"/>
        <v>4800000000</v>
      </c>
      <c r="L697" s="1">
        <f t="shared" si="0"/>
        <v>20820000</v>
      </c>
      <c r="M697" s="1">
        <f t="shared" si="0"/>
        <v>5199999999.9999933</v>
      </c>
      <c r="N697" s="1">
        <f t="shared" si="0"/>
        <v>27760000</v>
      </c>
      <c r="O697" s="1">
        <f t="shared" si="0"/>
        <v>5599999999.999999</v>
      </c>
      <c r="P697" s="1">
        <f t="shared" si="0"/>
        <v>31230000</v>
      </c>
      <c r="Q697" s="1">
        <f t="shared" si="0"/>
        <v>5999999999.9999971</v>
      </c>
      <c r="R697" s="1">
        <f t="shared" si="0"/>
        <v>34700000</v>
      </c>
    </row>
  </sheetData>
  <autoFilter ref="A2:S697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EF67-4509-4A8D-A1EB-9B4EA4CA3863}">
  <dimension ref="A1:L697"/>
  <sheetViews>
    <sheetView workbookViewId="0">
      <selection activeCell="K12" sqref="K12"/>
    </sheetView>
  </sheetViews>
  <sheetFormatPr defaultRowHeight="15" x14ac:dyDescent="0.25"/>
  <cols>
    <col min="1" max="1" width="10" bestFit="1" customWidth="1"/>
    <col min="2" max="2" width="17.28515625" bestFit="1" customWidth="1"/>
    <col min="3" max="3" width="42.85546875" bestFit="1" customWidth="1"/>
    <col min="4" max="4" width="13.5703125" style="1" bestFit="1" customWidth="1"/>
    <col min="5" max="11" width="16.7109375" style="1" bestFit="1" customWidth="1"/>
  </cols>
  <sheetData>
    <row r="1" spans="1:12" x14ac:dyDescent="0.25">
      <c r="E1" s="2">
        <v>3500000000</v>
      </c>
      <c r="F1" s="2">
        <v>4000000000</v>
      </c>
      <c r="G1" s="2">
        <v>4400000000</v>
      </c>
      <c r="H1" s="2">
        <v>4800000000</v>
      </c>
      <c r="I1" s="2">
        <v>5200000000</v>
      </c>
      <c r="J1" s="2">
        <v>5600000000</v>
      </c>
      <c r="K1" s="2">
        <v>6000000000</v>
      </c>
    </row>
    <row r="2" spans="1:12" x14ac:dyDescent="0.25">
      <c r="A2" t="s">
        <v>0</v>
      </c>
      <c r="B2" t="s">
        <v>1</v>
      </c>
      <c r="C2" t="s">
        <v>2</v>
      </c>
      <c r="D2" s="1" t="s">
        <v>757</v>
      </c>
      <c r="E2" s="1" t="s">
        <v>758</v>
      </c>
      <c r="F2" s="1" t="s">
        <v>759</v>
      </c>
      <c r="G2" s="1" t="s">
        <v>760</v>
      </c>
      <c r="H2" s="1" t="s">
        <v>761</v>
      </c>
      <c r="I2" s="1" t="s">
        <v>762</v>
      </c>
      <c r="J2" s="1" t="s">
        <v>763</v>
      </c>
      <c r="K2" s="1" t="s">
        <v>764</v>
      </c>
      <c r="L2" s="1"/>
    </row>
    <row r="3" spans="1:12" x14ac:dyDescent="0.25">
      <c r="A3" t="s">
        <v>3</v>
      </c>
      <c r="B3" t="s">
        <v>4</v>
      </c>
      <c r="C3" t="s">
        <v>5</v>
      </c>
      <c r="D3" s="1">
        <v>2928133</v>
      </c>
      <c r="E3" s="1">
        <f t="shared" ref="E3:K3" si="0">E$1/SUM($D$3:$D$696)*$D3</f>
        <v>3196150.8871509181</v>
      </c>
      <c r="F3" s="1">
        <f t="shared" si="0"/>
        <v>3652743.8710296205</v>
      </c>
      <c r="G3" s="1">
        <f t="shared" si="0"/>
        <v>4018018.2581325821</v>
      </c>
      <c r="H3" s="1">
        <f t="shared" si="0"/>
        <v>4383292.6452355441</v>
      </c>
      <c r="I3" s="1">
        <f t="shared" si="0"/>
        <v>4748567.0323385065</v>
      </c>
      <c r="J3" s="1">
        <f t="shared" si="0"/>
        <v>5113841.4194414681</v>
      </c>
      <c r="K3" s="1">
        <f t="shared" si="0"/>
        <v>5479115.8065444306</v>
      </c>
    </row>
    <row r="4" spans="1:12" x14ac:dyDescent="0.25">
      <c r="A4" t="s">
        <v>3</v>
      </c>
      <c r="B4" t="s">
        <v>4</v>
      </c>
      <c r="C4" t="s">
        <v>6</v>
      </c>
      <c r="D4" s="1">
        <v>4468551</v>
      </c>
      <c r="E4" s="1">
        <f t="shared" ref="E4:E67" si="1">$E$1/SUM($D$3:$D$696)*D4</f>
        <v>4877566.4366779523</v>
      </c>
      <c r="F4" s="1">
        <f t="shared" ref="F4:I67" si="2">F$1/SUM($D$3:$D$696)*$D4</f>
        <v>5574361.6419176599</v>
      </c>
      <c r="G4" s="1">
        <f t="shared" si="2"/>
        <v>6131797.8061094247</v>
      </c>
      <c r="H4" s="1">
        <f t="shared" si="2"/>
        <v>6689233.9703011913</v>
      </c>
      <c r="I4" s="1">
        <f t="shared" si="2"/>
        <v>7246670.134492957</v>
      </c>
      <c r="J4" s="1">
        <f t="shared" ref="J4:K67" si="3">J$1/SUM($D$3:$D$696)*$D4</f>
        <v>7804106.2986847227</v>
      </c>
      <c r="K4" s="1">
        <f t="shared" si="3"/>
        <v>8361542.4628764885</v>
      </c>
    </row>
    <row r="5" spans="1:12" x14ac:dyDescent="0.25">
      <c r="A5" t="s">
        <v>3</v>
      </c>
      <c r="B5" t="s">
        <v>4</v>
      </c>
      <c r="C5" t="s">
        <v>7</v>
      </c>
      <c r="D5" s="1">
        <v>5082905</v>
      </c>
      <c r="E5" s="1">
        <f t="shared" si="1"/>
        <v>5548153.4906555945</v>
      </c>
      <c r="F5" s="1">
        <f t="shared" si="2"/>
        <v>6340746.8464635359</v>
      </c>
      <c r="G5" s="1">
        <f t="shared" si="2"/>
        <v>6974821.531109889</v>
      </c>
      <c r="H5" s="1">
        <f t="shared" si="2"/>
        <v>7608896.2157562431</v>
      </c>
      <c r="I5" s="1">
        <f t="shared" si="2"/>
        <v>8242970.9004025972</v>
      </c>
      <c r="J5" s="1">
        <f t="shared" si="3"/>
        <v>8877045.5850489493</v>
      </c>
      <c r="K5" s="1">
        <f t="shared" si="3"/>
        <v>9511120.2696953043</v>
      </c>
    </row>
    <row r="6" spans="1:12" x14ac:dyDescent="0.25">
      <c r="A6" t="s">
        <v>3</v>
      </c>
      <c r="B6" t="s">
        <v>4</v>
      </c>
      <c r="C6" t="s">
        <v>8</v>
      </c>
      <c r="D6" s="1">
        <v>2829647</v>
      </c>
      <c r="E6" s="1">
        <f t="shared" si="1"/>
        <v>3088650.2660138505</v>
      </c>
      <c r="F6" s="1">
        <f t="shared" si="2"/>
        <v>3529886.0183015433</v>
      </c>
      <c r="G6" s="1">
        <f t="shared" si="2"/>
        <v>3882874.620131697</v>
      </c>
      <c r="H6" s="1">
        <f t="shared" si="2"/>
        <v>4235863.2219618522</v>
      </c>
      <c r="I6" s="1">
        <f t="shared" si="2"/>
        <v>4588851.8237920059</v>
      </c>
      <c r="J6" s="1">
        <f t="shared" si="3"/>
        <v>4941840.4256221605</v>
      </c>
      <c r="K6" s="1">
        <f t="shared" si="3"/>
        <v>5294829.0274523143</v>
      </c>
    </row>
    <row r="7" spans="1:12" x14ac:dyDescent="0.25">
      <c r="A7" t="s">
        <v>3</v>
      </c>
      <c r="B7" t="s">
        <v>4</v>
      </c>
      <c r="C7" t="s">
        <v>9</v>
      </c>
      <c r="D7" s="1">
        <v>1764009</v>
      </c>
      <c r="E7" s="1">
        <f t="shared" si="1"/>
        <v>1925472.2822673027</v>
      </c>
      <c r="F7" s="1">
        <f t="shared" si="2"/>
        <v>2200539.7511626314</v>
      </c>
      <c r="G7" s="1">
        <f t="shared" si="2"/>
        <v>2420593.7262788946</v>
      </c>
      <c r="H7" s="1">
        <f t="shared" si="2"/>
        <v>2640647.7013951577</v>
      </c>
      <c r="I7" s="1">
        <f t="shared" si="2"/>
        <v>2860701.6765114209</v>
      </c>
      <c r="J7" s="1">
        <f t="shared" si="3"/>
        <v>3080755.651627684</v>
      </c>
      <c r="K7" s="1">
        <f t="shared" si="3"/>
        <v>3300809.6267439472</v>
      </c>
    </row>
    <row r="8" spans="1:12" x14ac:dyDescent="0.25">
      <c r="A8" t="s">
        <v>3</v>
      </c>
      <c r="B8" t="s">
        <v>4</v>
      </c>
      <c r="C8" t="s">
        <v>10</v>
      </c>
      <c r="D8" s="1">
        <v>2202234</v>
      </c>
      <c r="E8" s="1">
        <f t="shared" si="1"/>
        <v>2403808.8955706297</v>
      </c>
      <c r="F8" s="1">
        <f t="shared" si="2"/>
        <v>2747210.1663664342</v>
      </c>
      <c r="G8" s="1">
        <f t="shared" si="2"/>
        <v>3021931.1830030773</v>
      </c>
      <c r="H8" s="1">
        <f t="shared" si="2"/>
        <v>3296652.1996397208</v>
      </c>
      <c r="I8" s="1">
        <f t="shared" si="2"/>
        <v>3571373.2162763644</v>
      </c>
      <c r="J8" s="1">
        <f t="shared" si="3"/>
        <v>3846094.232913007</v>
      </c>
      <c r="K8" s="1">
        <f t="shared" si="3"/>
        <v>4120815.2495496506</v>
      </c>
    </row>
    <row r="9" spans="1:12" x14ac:dyDescent="0.25">
      <c r="A9" t="s">
        <v>3</v>
      </c>
      <c r="B9" t="s">
        <v>4</v>
      </c>
      <c r="C9" t="s">
        <v>11</v>
      </c>
      <c r="D9" s="1">
        <v>3333392</v>
      </c>
      <c r="E9" s="1">
        <f t="shared" si="1"/>
        <v>3638504.0563464067</v>
      </c>
      <c r="F9" s="1">
        <f t="shared" si="2"/>
        <v>4158290.3501101793</v>
      </c>
      <c r="G9" s="1">
        <f t="shared" si="2"/>
        <v>4574119.3851211965</v>
      </c>
      <c r="H9" s="1">
        <f t="shared" si="2"/>
        <v>4989948.4201322151</v>
      </c>
      <c r="I9" s="1">
        <f t="shared" si="2"/>
        <v>5405777.4551432328</v>
      </c>
      <c r="J9" s="1">
        <f t="shared" si="3"/>
        <v>5821606.4901542505</v>
      </c>
      <c r="K9" s="1">
        <f t="shared" si="3"/>
        <v>6237435.5251652682</v>
      </c>
    </row>
    <row r="10" spans="1:12" x14ac:dyDescent="0.25">
      <c r="A10" t="s">
        <v>3</v>
      </c>
      <c r="B10" t="s">
        <v>36</v>
      </c>
      <c r="C10" t="s">
        <v>12</v>
      </c>
      <c r="D10" s="1">
        <v>2474626</v>
      </c>
      <c r="E10" s="1">
        <f t="shared" si="1"/>
        <v>2701133.4817328067</v>
      </c>
      <c r="F10" s="1">
        <f t="shared" si="2"/>
        <v>3087009.6934089218</v>
      </c>
      <c r="G10" s="1">
        <f t="shared" si="2"/>
        <v>3395710.6627498134</v>
      </c>
      <c r="H10" s="1">
        <f t="shared" si="2"/>
        <v>3704411.6320907059</v>
      </c>
      <c r="I10" s="1">
        <f t="shared" si="2"/>
        <v>4013112.601431598</v>
      </c>
      <c r="J10" s="1">
        <f t="shared" si="3"/>
        <v>4321813.5707724895</v>
      </c>
      <c r="K10" s="1">
        <f t="shared" si="3"/>
        <v>4630514.540113382</v>
      </c>
    </row>
    <row r="11" spans="1:12" x14ac:dyDescent="0.25">
      <c r="A11" t="s">
        <v>3</v>
      </c>
      <c r="B11" t="s">
        <v>4</v>
      </c>
      <c r="C11" t="s">
        <v>13</v>
      </c>
      <c r="D11" s="1">
        <v>1856175</v>
      </c>
      <c r="E11" s="1">
        <f t="shared" si="1"/>
        <v>2026074.4211268257</v>
      </c>
      <c r="F11" s="1">
        <f t="shared" si="2"/>
        <v>2315513.6241449434</v>
      </c>
      <c r="G11" s="1">
        <f t="shared" si="2"/>
        <v>2547064.9865594376</v>
      </c>
      <c r="H11" s="1">
        <f t="shared" si="2"/>
        <v>2778616.3489739322</v>
      </c>
      <c r="I11" s="1">
        <f t="shared" si="2"/>
        <v>3010167.7113884268</v>
      </c>
      <c r="J11" s="1">
        <f t="shared" si="3"/>
        <v>3241719.0738029205</v>
      </c>
      <c r="K11" s="1">
        <f t="shared" si="3"/>
        <v>3473270.4362174151</v>
      </c>
    </row>
    <row r="12" spans="1:12" x14ac:dyDescent="0.25">
      <c r="A12" t="s">
        <v>3</v>
      </c>
      <c r="B12" t="s">
        <v>4</v>
      </c>
      <c r="C12" t="s">
        <v>14</v>
      </c>
      <c r="D12" s="1">
        <v>3801216</v>
      </c>
      <c r="E12" s="1">
        <f t="shared" si="1"/>
        <v>4149148.9254935705</v>
      </c>
      <c r="F12" s="1">
        <f t="shared" si="2"/>
        <v>4741884.4862783663</v>
      </c>
      <c r="G12" s="1">
        <f t="shared" si="2"/>
        <v>5216072.9349062024</v>
      </c>
      <c r="H12" s="1">
        <f t="shared" si="2"/>
        <v>5690261.3835340384</v>
      </c>
      <c r="I12" s="1">
        <f t="shared" si="2"/>
        <v>6164449.8321618754</v>
      </c>
      <c r="J12" s="1">
        <f t="shared" si="3"/>
        <v>6638638.2807897115</v>
      </c>
      <c r="K12" s="1">
        <f t="shared" si="3"/>
        <v>7112826.7294175485</v>
      </c>
    </row>
    <row r="13" spans="1:12" x14ac:dyDescent="0.25">
      <c r="A13" t="s">
        <v>3</v>
      </c>
      <c r="B13" t="s">
        <v>4</v>
      </c>
      <c r="C13" t="s">
        <v>15</v>
      </c>
      <c r="D13" s="1">
        <v>4576267</v>
      </c>
      <c r="E13" s="1">
        <f t="shared" si="1"/>
        <v>4995141.8982298514</v>
      </c>
      <c r="F13" s="1">
        <f t="shared" si="2"/>
        <v>5708733.5979769733</v>
      </c>
      <c r="G13" s="1">
        <f t="shared" si="2"/>
        <v>6279606.9577746699</v>
      </c>
      <c r="H13" s="1">
        <f t="shared" si="2"/>
        <v>6850480.3175723674</v>
      </c>
      <c r="I13" s="1">
        <f t="shared" si="2"/>
        <v>7421353.6773700649</v>
      </c>
      <c r="J13" s="1">
        <f t="shared" si="3"/>
        <v>7992227.0371677615</v>
      </c>
      <c r="K13" s="1">
        <f t="shared" si="3"/>
        <v>8563100.396965459</v>
      </c>
    </row>
    <row r="14" spans="1:12" x14ac:dyDescent="0.25">
      <c r="A14" t="s">
        <v>3</v>
      </c>
      <c r="B14" t="s">
        <v>4</v>
      </c>
      <c r="C14" t="s">
        <v>16</v>
      </c>
      <c r="D14" s="1">
        <v>2121144</v>
      </c>
      <c r="E14" s="1">
        <f t="shared" si="1"/>
        <v>2315296.5652089054</v>
      </c>
      <c r="F14" s="1">
        <f t="shared" si="2"/>
        <v>2646053.2173816059</v>
      </c>
      <c r="G14" s="1">
        <f t="shared" si="2"/>
        <v>2910658.5391197661</v>
      </c>
      <c r="H14" s="1">
        <f t="shared" si="2"/>
        <v>3175263.8608579268</v>
      </c>
      <c r="I14" s="1">
        <f t="shared" si="2"/>
        <v>3439869.1825960875</v>
      </c>
      <c r="J14" s="1">
        <f t="shared" si="3"/>
        <v>3704474.5043342477</v>
      </c>
      <c r="K14" s="1">
        <f t="shared" si="3"/>
        <v>3969079.8260724084</v>
      </c>
    </row>
    <row r="15" spans="1:12" x14ac:dyDescent="0.25">
      <c r="A15" t="s">
        <v>3</v>
      </c>
      <c r="B15" t="s">
        <v>4</v>
      </c>
      <c r="C15" t="s">
        <v>17</v>
      </c>
      <c r="D15" s="1">
        <v>3103412</v>
      </c>
      <c r="E15" s="1">
        <f t="shared" si="1"/>
        <v>3387473.5256201834</v>
      </c>
      <c r="F15" s="1">
        <f t="shared" si="2"/>
        <v>3871398.3149944954</v>
      </c>
      <c r="G15" s="1">
        <f t="shared" si="2"/>
        <v>4258538.1464939443</v>
      </c>
      <c r="H15" s="1">
        <f t="shared" si="2"/>
        <v>4645677.9779933942</v>
      </c>
      <c r="I15" s="1">
        <f t="shared" si="2"/>
        <v>5032817.8094928442</v>
      </c>
      <c r="J15" s="1">
        <f t="shared" si="3"/>
        <v>5419957.6409922931</v>
      </c>
      <c r="K15" s="1">
        <f t="shared" si="3"/>
        <v>5807097.472491743</v>
      </c>
    </row>
    <row r="16" spans="1:12" x14ac:dyDescent="0.25">
      <c r="A16" t="s">
        <v>3</v>
      </c>
      <c r="B16" t="s">
        <v>4</v>
      </c>
      <c r="C16" t="s">
        <v>18</v>
      </c>
      <c r="D16" s="1">
        <v>2390111</v>
      </c>
      <c r="E16" s="1">
        <f t="shared" si="1"/>
        <v>2608882.6542507354</v>
      </c>
      <c r="F16" s="1">
        <f t="shared" si="2"/>
        <v>2981580.1762865544</v>
      </c>
      <c r="G16" s="1">
        <f t="shared" si="2"/>
        <v>3279738.1939152097</v>
      </c>
      <c r="H16" s="1">
        <f t="shared" si="2"/>
        <v>3577896.211543865</v>
      </c>
      <c r="I16" s="1">
        <f t="shared" si="2"/>
        <v>3876054.2291725208</v>
      </c>
      <c r="J16" s="1">
        <f t="shared" si="3"/>
        <v>4174212.2468011756</v>
      </c>
      <c r="K16" s="1">
        <f t="shared" si="3"/>
        <v>4472370.2644298319</v>
      </c>
    </row>
    <row r="17" spans="1:11" x14ac:dyDescent="0.25">
      <c r="A17" t="s">
        <v>3</v>
      </c>
      <c r="B17" t="s">
        <v>4</v>
      </c>
      <c r="C17" t="s">
        <v>19</v>
      </c>
      <c r="D17" s="1">
        <v>3013993</v>
      </c>
      <c r="E17" s="1">
        <f t="shared" si="1"/>
        <v>3289869.8251809794</v>
      </c>
      <c r="F17" s="1">
        <f t="shared" si="2"/>
        <v>3759851.2287782622</v>
      </c>
      <c r="G17" s="1">
        <f t="shared" si="2"/>
        <v>4135836.3516560881</v>
      </c>
      <c r="H17" s="1">
        <f t="shared" si="2"/>
        <v>4511821.4745339146</v>
      </c>
      <c r="I17" s="1">
        <f t="shared" si="2"/>
        <v>4887806.5974117406</v>
      </c>
      <c r="J17" s="1">
        <f t="shared" si="3"/>
        <v>5263791.7202895666</v>
      </c>
      <c r="K17" s="1">
        <f t="shared" si="3"/>
        <v>5639776.8431673935</v>
      </c>
    </row>
    <row r="18" spans="1:11" x14ac:dyDescent="0.25">
      <c r="A18" t="s">
        <v>3</v>
      </c>
      <c r="B18" t="s">
        <v>20</v>
      </c>
      <c r="C18" t="s">
        <v>21</v>
      </c>
      <c r="D18" s="1">
        <v>2925946</v>
      </c>
      <c r="E18" s="1">
        <f t="shared" si="1"/>
        <v>3193763.7066539261</v>
      </c>
      <c r="F18" s="1">
        <f t="shared" si="2"/>
        <v>3650015.6647473439</v>
      </c>
      <c r="G18" s="1">
        <f t="shared" si="2"/>
        <v>4015017.2312220777</v>
      </c>
      <c r="H18" s="1">
        <f t="shared" si="2"/>
        <v>4380018.7976968121</v>
      </c>
      <c r="I18" s="1">
        <f t="shared" si="2"/>
        <v>4745020.3641715469</v>
      </c>
      <c r="J18" s="1">
        <f t="shared" si="3"/>
        <v>5110021.9306462808</v>
      </c>
      <c r="K18" s="1">
        <f t="shared" si="3"/>
        <v>5475023.4971210156</v>
      </c>
    </row>
    <row r="19" spans="1:11" x14ac:dyDescent="0.25">
      <c r="A19" t="s">
        <v>3</v>
      </c>
      <c r="B19" t="s">
        <v>20</v>
      </c>
      <c r="C19" t="s">
        <v>22</v>
      </c>
      <c r="D19" s="1">
        <v>3260852</v>
      </c>
      <c r="E19" s="1">
        <f t="shared" si="1"/>
        <v>3559324.3246354745</v>
      </c>
      <c r="F19" s="1">
        <f t="shared" si="2"/>
        <v>4067799.2281548278</v>
      </c>
      <c r="G19" s="1">
        <f t="shared" si="2"/>
        <v>4474579.15097031</v>
      </c>
      <c r="H19" s="1">
        <f t="shared" si="2"/>
        <v>4881359.073785793</v>
      </c>
      <c r="I19" s="1">
        <f t="shared" si="2"/>
        <v>5288138.9966012761</v>
      </c>
      <c r="J19" s="1">
        <f t="shared" si="3"/>
        <v>5694918.9194167582</v>
      </c>
      <c r="K19" s="1">
        <f t="shared" si="3"/>
        <v>6101698.8422322413</v>
      </c>
    </row>
    <row r="20" spans="1:11" x14ac:dyDescent="0.25">
      <c r="A20" t="s">
        <v>3</v>
      </c>
      <c r="B20" t="s">
        <v>20</v>
      </c>
      <c r="C20" t="s">
        <v>23</v>
      </c>
      <c r="D20" s="1">
        <v>3152064</v>
      </c>
      <c r="E20" s="1">
        <f t="shared" si="1"/>
        <v>3440578.7407732066</v>
      </c>
      <c r="F20" s="1">
        <f t="shared" si="2"/>
        <v>3932089.9894550932</v>
      </c>
      <c r="G20" s="1">
        <f t="shared" si="2"/>
        <v>4325298.9884006018</v>
      </c>
      <c r="H20" s="1">
        <f t="shared" si="2"/>
        <v>4718507.9873461118</v>
      </c>
      <c r="I20" s="1">
        <f t="shared" si="2"/>
        <v>5111716.9862916209</v>
      </c>
      <c r="J20" s="1">
        <f t="shared" si="3"/>
        <v>5504925.98523713</v>
      </c>
      <c r="K20" s="1">
        <f t="shared" si="3"/>
        <v>5898134.984182639</v>
      </c>
    </row>
    <row r="21" spans="1:11" x14ac:dyDescent="0.25">
      <c r="A21" t="s">
        <v>3</v>
      </c>
      <c r="B21" t="s">
        <v>20</v>
      </c>
      <c r="C21" t="s">
        <v>24</v>
      </c>
      <c r="D21" s="1">
        <v>1983246</v>
      </c>
      <c r="E21" s="1">
        <f t="shared" si="1"/>
        <v>2164776.4846537057</v>
      </c>
      <c r="F21" s="1">
        <f t="shared" si="2"/>
        <v>2474030.2681756639</v>
      </c>
      <c r="G21" s="1">
        <f t="shared" si="2"/>
        <v>2721433.2949932297</v>
      </c>
      <c r="H21" s="1">
        <f t="shared" si="2"/>
        <v>2968836.3218107964</v>
      </c>
      <c r="I21" s="1">
        <f t="shared" si="2"/>
        <v>3216239.3486283631</v>
      </c>
      <c r="J21" s="1">
        <f t="shared" si="3"/>
        <v>3463642.3754459289</v>
      </c>
      <c r="K21" s="1">
        <f t="shared" si="3"/>
        <v>3711045.4022634956</v>
      </c>
    </row>
    <row r="22" spans="1:11" x14ac:dyDescent="0.25">
      <c r="A22" t="s">
        <v>3</v>
      </c>
      <c r="B22" t="s">
        <v>20</v>
      </c>
      <c r="C22" t="s">
        <v>25</v>
      </c>
      <c r="D22" s="1">
        <v>5427819</v>
      </c>
      <c r="E22" s="1">
        <f t="shared" si="1"/>
        <v>5924638.1609525969</v>
      </c>
      <c r="F22" s="1">
        <f t="shared" si="2"/>
        <v>6771015.0410886817</v>
      </c>
      <c r="G22" s="1">
        <f t="shared" si="2"/>
        <v>7448116.5451975493</v>
      </c>
      <c r="H22" s="1">
        <f t="shared" si="2"/>
        <v>8125218.0493064178</v>
      </c>
      <c r="I22" s="1">
        <f t="shared" si="2"/>
        <v>8802319.5534152854</v>
      </c>
      <c r="J22" s="1">
        <f t="shared" si="3"/>
        <v>9479421.057524154</v>
      </c>
      <c r="K22" s="1">
        <f t="shared" si="3"/>
        <v>10156522.561633023</v>
      </c>
    </row>
    <row r="23" spans="1:11" x14ac:dyDescent="0.25">
      <c r="A23" t="s">
        <v>3</v>
      </c>
      <c r="B23" t="s">
        <v>20</v>
      </c>
      <c r="C23" t="s">
        <v>26</v>
      </c>
      <c r="D23" s="1">
        <v>2234606</v>
      </c>
      <c r="E23" s="1">
        <f t="shared" si="1"/>
        <v>2439143.9696669397</v>
      </c>
      <c r="F23" s="1">
        <f t="shared" si="2"/>
        <v>2787593.108190788</v>
      </c>
      <c r="G23" s="1">
        <f t="shared" si="2"/>
        <v>3066352.4190098662</v>
      </c>
      <c r="H23" s="1">
        <f t="shared" si="2"/>
        <v>3345111.7298289454</v>
      </c>
      <c r="I23" s="1">
        <f t="shared" si="2"/>
        <v>3623871.0406480241</v>
      </c>
      <c r="J23" s="1">
        <f t="shared" si="3"/>
        <v>3902630.3514671028</v>
      </c>
      <c r="K23" s="1">
        <f t="shared" si="3"/>
        <v>4181389.6622861815</v>
      </c>
    </row>
    <row r="24" spans="1:11" x14ac:dyDescent="0.25">
      <c r="A24" t="s">
        <v>3</v>
      </c>
      <c r="B24" t="s">
        <v>20</v>
      </c>
      <c r="C24" t="s">
        <v>27</v>
      </c>
      <c r="D24" s="1">
        <v>4970703</v>
      </c>
      <c r="E24" s="1">
        <f t="shared" si="1"/>
        <v>5425681.4165250454</v>
      </c>
      <c r="F24" s="1">
        <f t="shared" si="2"/>
        <v>6200778.7617429085</v>
      </c>
      <c r="G24" s="1">
        <f t="shared" si="2"/>
        <v>6820856.6379171992</v>
      </c>
      <c r="H24" s="1">
        <f t="shared" si="2"/>
        <v>7440934.5140914898</v>
      </c>
      <c r="I24" s="1">
        <f t="shared" si="2"/>
        <v>8061012.3902657814</v>
      </c>
      <c r="J24" s="1">
        <f t="shared" si="3"/>
        <v>8681090.2664400712</v>
      </c>
      <c r="K24" s="1">
        <f t="shared" si="3"/>
        <v>9301168.1426143628</v>
      </c>
    </row>
    <row r="25" spans="1:11" x14ac:dyDescent="0.25">
      <c r="A25" t="s">
        <v>304</v>
      </c>
      <c r="B25" t="s">
        <v>355</v>
      </c>
      <c r="C25" t="s">
        <v>28</v>
      </c>
      <c r="D25" s="1">
        <v>3982479</v>
      </c>
      <c r="E25" s="1">
        <f t="shared" si="1"/>
        <v>4347003.2914863843</v>
      </c>
      <c r="F25" s="1">
        <f t="shared" si="2"/>
        <v>4968003.7616987247</v>
      </c>
      <c r="G25" s="1">
        <f t="shared" si="2"/>
        <v>5464804.1378685972</v>
      </c>
      <c r="H25" s="1">
        <f t="shared" si="2"/>
        <v>5961604.5140384696</v>
      </c>
      <c r="I25" s="1">
        <f t="shared" si="2"/>
        <v>6458404.8902083421</v>
      </c>
      <c r="J25" s="1">
        <f t="shared" si="3"/>
        <v>6955205.2663782146</v>
      </c>
      <c r="K25" s="1">
        <f t="shared" si="3"/>
        <v>7452005.6425480871</v>
      </c>
    </row>
    <row r="26" spans="1:11" x14ac:dyDescent="0.25">
      <c r="A26" t="s">
        <v>3</v>
      </c>
      <c r="B26" t="s">
        <v>66</v>
      </c>
      <c r="C26" t="s">
        <v>29</v>
      </c>
      <c r="D26" s="1">
        <v>8971985</v>
      </c>
      <c r="E26" s="1">
        <f t="shared" si="1"/>
        <v>9793208.7843191307</v>
      </c>
      <c r="F26" s="1">
        <f t="shared" si="2"/>
        <v>11192238.610650435</v>
      </c>
      <c r="G26" s="1">
        <f t="shared" si="2"/>
        <v>12311462.471715478</v>
      </c>
      <c r="H26" s="1">
        <f t="shared" si="2"/>
        <v>13430686.332780521</v>
      </c>
      <c r="I26" s="1">
        <f t="shared" si="2"/>
        <v>14549910.193845566</v>
      </c>
      <c r="J26" s="1">
        <f t="shared" si="3"/>
        <v>15669134.054910608</v>
      </c>
      <c r="K26" s="1">
        <f t="shared" si="3"/>
        <v>16788357.915975653</v>
      </c>
    </row>
    <row r="27" spans="1:11" x14ac:dyDescent="0.25">
      <c r="A27" t="s">
        <v>3</v>
      </c>
      <c r="B27" t="s">
        <v>20</v>
      </c>
      <c r="C27" t="s">
        <v>30</v>
      </c>
      <c r="D27" s="1">
        <v>5062058</v>
      </c>
      <c r="E27" s="1">
        <f t="shared" si="1"/>
        <v>5525398.3229277506</v>
      </c>
      <c r="F27" s="1">
        <f t="shared" si="2"/>
        <v>6314740.9404888572</v>
      </c>
      <c r="G27" s="1">
        <f t="shared" si="2"/>
        <v>6946215.0345377419</v>
      </c>
      <c r="H27" s="1">
        <f t="shared" si="2"/>
        <v>7577689.1285866285</v>
      </c>
      <c r="I27" s="1">
        <f t="shared" si="2"/>
        <v>8209163.2226355141</v>
      </c>
      <c r="J27" s="1">
        <f t="shared" si="3"/>
        <v>8840637.3166843988</v>
      </c>
      <c r="K27" s="1">
        <f t="shared" si="3"/>
        <v>9472111.4107332863</v>
      </c>
    </row>
    <row r="28" spans="1:11" x14ac:dyDescent="0.25">
      <c r="A28" t="s">
        <v>3</v>
      </c>
      <c r="B28" t="s">
        <v>66</v>
      </c>
      <c r="C28" t="s">
        <v>31</v>
      </c>
      <c r="D28" s="1">
        <v>3653796</v>
      </c>
      <c r="E28" s="1">
        <f t="shared" si="1"/>
        <v>3988235.2771778046</v>
      </c>
      <c r="F28" s="1">
        <f t="shared" si="2"/>
        <v>4557983.173917491</v>
      </c>
      <c r="G28" s="1">
        <f t="shared" si="2"/>
        <v>5013781.4913092395</v>
      </c>
      <c r="H28" s="1">
        <f t="shared" si="2"/>
        <v>5469579.8087009881</v>
      </c>
      <c r="I28" s="1">
        <f t="shared" si="2"/>
        <v>5925378.1260927375</v>
      </c>
      <c r="J28" s="1">
        <f t="shared" si="3"/>
        <v>6381176.4434844861</v>
      </c>
      <c r="K28" s="1">
        <f t="shared" si="3"/>
        <v>6836974.7608762356</v>
      </c>
    </row>
    <row r="29" spans="1:11" x14ac:dyDescent="0.25">
      <c r="A29" t="s">
        <v>3</v>
      </c>
      <c r="B29" t="s">
        <v>66</v>
      </c>
      <c r="C29" t="s">
        <v>32</v>
      </c>
      <c r="D29" s="1">
        <v>3499480</v>
      </c>
      <c r="E29" s="1">
        <f t="shared" si="1"/>
        <v>3819794.4241490723</v>
      </c>
      <c r="F29" s="1">
        <f t="shared" si="2"/>
        <v>4365479.341884654</v>
      </c>
      <c r="G29" s="1">
        <f t="shared" si="2"/>
        <v>4802027.2760731187</v>
      </c>
      <c r="H29" s="1">
        <f t="shared" si="2"/>
        <v>5238575.2102615843</v>
      </c>
      <c r="I29" s="1">
        <f t="shared" si="2"/>
        <v>5675123.1444500498</v>
      </c>
      <c r="J29" s="1">
        <f t="shared" si="3"/>
        <v>6111671.0786385145</v>
      </c>
      <c r="K29" s="1">
        <f t="shared" si="3"/>
        <v>6548219.0128269801</v>
      </c>
    </row>
    <row r="30" spans="1:11" x14ac:dyDescent="0.25">
      <c r="A30" t="s">
        <v>3</v>
      </c>
      <c r="B30" t="s">
        <v>20</v>
      </c>
      <c r="C30" t="s">
        <v>33</v>
      </c>
      <c r="D30" s="1">
        <v>6884635</v>
      </c>
      <c r="E30" s="1">
        <f t="shared" si="1"/>
        <v>7514799.4517189832</v>
      </c>
      <c r="F30" s="1">
        <f t="shared" si="2"/>
        <v>8588342.2305359803</v>
      </c>
      <c r="G30" s="1">
        <f t="shared" si="2"/>
        <v>9447176.4535895772</v>
      </c>
      <c r="H30" s="1">
        <f t="shared" si="2"/>
        <v>10306010.676643176</v>
      </c>
      <c r="I30" s="1">
        <f t="shared" si="2"/>
        <v>11164844.899696775</v>
      </c>
      <c r="J30" s="1">
        <f t="shared" si="3"/>
        <v>12023679.122750372</v>
      </c>
      <c r="K30" s="1">
        <f t="shared" si="3"/>
        <v>12882513.34580397</v>
      </c>
    </row>
    <row r="31" spans="1:11" x14ac:dyDescent="0.25">
      <c r="A31" t="s">
        <v>3</v>
      </c>
      <c r="B31" t="s">
        <v>20</v>
      </c>
      <c r="C31" t="s">
        <v>34</v>
      </c>
      <c r="D31" s="1">
        <v>3688028</v>
      </c>
      <c r="E31" s="1">
        <f t="shared" si="1"/>
        <v>4025600.6008051638</v>
      </c>
      <c r="F31" s="1">
        <f t="shared" si="2"/>
        <v>4600686.4009201871</v>
      </c>
      <c r="G31" s="1">
        <f t="shared" si="2"/>
        <v>5060755.0410122052</v>
      </c>
      <c r="H31" s="1">
        <f t="shared" si="2"/>
        <v>5520823.6811042242</v>
      </c>
      <c r="I31" s="1">
        <f t="shared" si="2"/>
        <v>5980892.3211962432</v>
      </c>
      <c r="J31" s="1">
        <f t="shared" si="3"/>
        <v>6440960.9612882612</v>
      </c>
      <c r="K31" s="1">
        <f t="shared" si="3"/>
        <v>6901029.6013802802</v>
      </c>
    </row>
    <row r="32" spans="1:11" x14ac:dyDescent="0.25">
      <c r="A32" t="s">
        <v>3</v>
      </c>
      <c r="B32" t="s">
        <v>20</v>
      </c>
      <c r="C32" t="s">
        <v>35</v>
      </c>
      <c r="D32" s="1">
        <v>6472460</v>
      </c>
      <c r="E32" s="1">
        <f t="shared" si="1"/>
        <v>7064897.2471704092</v>
      </c>
      <c r="F32" s="1">
        <f t="shared" si="2"/>
        <v>8074168.2824804671</v>
      </c>
      <c r="G32" s="1">
        <f t="shared" si="2"/>
        <v>8881585.1107285134</v>
      </c>
      <c r="H32" s="1">
        <f t="shared" si="2"/>
        <v>9689001.9389765598</v>
      </c>
      <c r="I32" s="1">
        <f t="shared" si="2"/>
        <v>10496418.767224608</v>
      </c>
      <c r="J32" s="1">
        <f t="shared" si="3"/>
        <v>11303835.595472652</v>
      </c>
      <c r="K32" s="1">
        <f t="shared" si="3"/>
        <v>12111252.423720701</v>
      </c>
    </row>
    <row r="33" spans="1:11" x14ac:dyDescent="0.25">
      <c r="A33" t="s">
        <v>3</v>
      </c>
      <c r="B33" t="s">
        <v>36</v>
      </c>
      <c r="C33" t="s">
        <v>37</v>
      </c>
      <c r="D33" s="1">
        <v>2382916</v>
      </c>
      <c r="E33" s="1">
        <f t="shared" si="1"/>
        <v>2601029.0814679926</v>
      </c>
      <c r="F33" s="1">
        <f t="shared" si="2"/>
        <v>2972604.6645348486</v>
      </c>
      <c r="G33" s="1">
        <f t="shared" si="2"/>
        <v>3269865.1309883329</v>
      </c>
      <c r="H33" s="1">
        <f t="shared" si="2"/>
        <v>3567125.5974418181</v>
      </c>
      <c r="I33" s="1">
        <f t="shared" si="2"/>
        <v>3864386.0638953028</v>
      </c>
      <c r="J33" s="1">
        <f t="shared" si="3"/>
        <v>4161646.5303487875</v>
      </c>
      <c r="K33" s="1">
        <f t="shared" si="3"/>
        <v>4458906.9968022723</v>
      </c>
    </row>
    <row r="34" spans="1:11" x14ac:dyDescent="0.25">
      <c r="A34" t="s">
        <v>3</v>
      </c>
      <c r="B34" t="s">
        <v>36</v>
      </c>
      <c r="C34" t="s">
        <v>38</v>
      </c>
      <c r="D34" s="1">
        <v>2309512</v>
      </c>
      <c r="E34" s="1">
        <f t="shared" si="1"/>
        <v>2520906.2661039275</v>
      </c>
      <c r="F34" s="1">
        <f t="shared" si="2"/>
        <v>2881035.7326902025</v>
      </c>
      <c r="G34" s="1">
        <f t="shared" si="2"/>
        <v>3169139.3059592224</v>
      </c>
      <c r="H34" s="1">
        <f t="shared" si="2"/>
        <v>3457242.8792282431</v>
      </c>
      <c r="I34" s="1">
        <f t="shared" si="2"/>
        <v>3745346.4524972634</v>
      </c>
      <c r="J34" s="1">
        <f t="shared" si="3"/>
        <v>4033450.0257662833</v>
      </c>
      <c r="K34" s="1">
        <f t="shared" si="3"/>
        <v>4321553.599035304</v>
      </c>
    </row>
    <row r="35" spans="1:11" x14ac:dyDescent="0.25">
      <c r="A35" t="s">
        <v>3</v>
      </c>
      <c r="B35" t="s">
        <v>36</v>
      </c>
      <c r="C35" t="s">
        <v>39</v>
      </c>
      <c r="D35" s="1">
        <v>1764009</v>
      </c>
      <c r="E35" s="1">
        <f t="shared" si="1"/>
        <v>1925472.2822673027</v>
      </c>
      <c r="F35" s="1">
        <f t="shared" si="2"/>
        <v>2200539.7511626314</v>
      </c>
      <c r="G35" s="1">
        <f t="shared" si="2"/>
        <v>2420593.7262788946</v>
      </c>
      <c r="H35" s="1">
        <f t="shared" si="2"/>
        <v>2640647.7013951577</v>
      </c>
      <c r="I35" s="1">
        <f t="shared" si="2"/>
        <v>2860701.6765114209</v>
      </c>
      <c r="J35" s="1">
        <f t="shared" si="3"/>
        <v>3080755.651627684</v>
      </c>
      <c r="K35" s="1">
        <f t="shared" si="3"/>
        <v>3300809.6267439472</v>
      </c>
    </row>
    <row r="36" spans="1:11" x14ac:dyDescent="0.25">
      <c r="A36" t="s">
        <v>3</v>
      </c>
      <c r="B36" t="s">
        <v>36</v>
      </c>
      <c r="C36" t="s">
        <v>40</v>
      </c>
      <c r="D36" s="1">
        <v>2223982</v>
      </c>
      <c r="E36" s="1">
        <f t="shared" si="1"/>
        <v>2427547.5336358263</v>
      </c>
      <c r="F36" s="1">
        <f t="shared" si="2"/>
        <v>2774340.0384409442</v>
      </c>
      <c r="G36" s="1">
        <f t="shared" si="2"/>
        <v>3051774.0422850386</v>
      </c>
      <c r="H36" s="1">
        <f t="shared" si="2"/>
        <v>3329208.0461291331</v>
      </c>
      <c r="I36" s="1">
        <f t="shared" si="2"/>
        <v>3606642.0499732275</v>
      </c>
      <c r="J36" s="1">
        <f t="shared" si="3"/>
        <v>3884076.0538173215</v>
      </c>
      <c r="K36" s="1">
        <f t="shared" si="3"/>
        <v>4161510.0576614165</v>
      </c>
    </row>
    <row r="37" spans="1:11" x14ac:dyDescent="0.25">
      <c r="A37" t="s">
        <v>3</v>
      </c>
      <c r="B37" t="s">
        <v>36</v>
      </c>
      <c r="C37" t="s">
        <v>41</v>
      </c>
      <c r="D37" s="1">
        <v>2855133</v>
      </c>
      <c r="E37" s="1">
        <f t="shared" si="1"/>
        <v>3116469.0507172532</v>
      </c>
      <c r="F37" s="1">
        <f t="shared" si="2"/>
        <v>3561678.9151054318</v>
      </c>
      <c r="G37" s="1">
        <f t="shared" si="2"/>
        <v>3917846.8066159748</v>
      </c>
      <c r="H37" s="1">
        <f t="shared" si="2"/>
        <v>4274014.6981265182</v>
      </c>
      <c r="I37" s="1">
        <f t="shared" si="2"/>
        <v>4630182.5896370616</v>
      </c>
      <c r="J37" s="1">
        <f t="shared" si="3"/>
        <v>4986350.4811476041</v>
      </c>
      <c r="K37" s="1">
        <f t="shared" si="3"/>
        <v>5342518.3726581475</v>
      </c>
    </row>
    <row r="38" spans="1:11" x14ac:dyDescent="0.25">
      <c r="A38" t="s">
        <v>3</v>
      </c>
      <c r="B38" t="s">
        <v>36</v>
      </c>
      <c r="C38" t="s">
        <v>42</v>
      </c>
      <c r="D38" s="1">
        <v>15063515</v>
      </c>
      <c r="E38" s="1">
        <f t="shared" si="1"/>
        <v>16442308.74446658</v>
      </c>
      <c r="F38" s="1">
        <f t="shared" si="2"/>
        <v>18791209.993676092</v>
      </c>
      <c r="G38" s="1">
        <f t="shared" si="2"/>
        <v>20670330.993043698</v>
      </c>
      <c r="H38" s="1">
        <f t="shared" si="2"/>
        <v>22549451.992411308</v>
      </c>
      <c r="I38" s="1">
        <f t="shared" si="2"/>
        <v>24428572.991778918</v>
      </c>
      <c r="J38" s="1">
        <f t="shared" si="3"/>
        <v>26307693.991146527</v>
      </c>
      <c r="K38" s="1">
        <f t="shared" si="3"/>
        <v>28186814.990514137</v>
      </c>
    </row>
    <row r="39" spans="1:11" x14ac:dyDescent="0.25">
      <c r="A39" t="s">
        <v>3</v>
      </c>
      <c r="B39" t="s">
        <v>36</v>
      </c>
      <c r="C39" t="s">
        <v>43</v>
      </c>
      <c r="D39" s="1">
        <v>2931853</v>
      </c>
      <c r="E39" s="1">
        <f t="shared" si="1"/>
        <v>3200211.3862130172</v>
      </c>
      <c r="F39" s="1">
        <f t="shared" si="2"/>
        <v>3657384.4413863053</v>
      </c>
      <c r="G39" s="1">
        <f t="shared" si="2"/>
        <v>4023122.8855249356</v>
      </c>
      <c r="H39" s="1">
        <f t="shared" si="2"/>
        <v>4388861.3296635663</v>
      </c>
      <c r="I39" s="1">
        <f t="shared" si="2"/>
        <v>4754599.7738021966</v>
      </c>
      <c r="J39" s="1">
        <f t="shared" si="3"/>
        <v>5120338.2179408269</v>
      </c>
      <c r="K39" s="1">
        <f t="shared" si="3"/>
        <v>5486076.6620794581</v>
      </c>
    </row>
    <row r="40" spans="1:11" x14ac:dyDescent="0.25">
      <c r="A40" t="s">
        <v>3</v>
      </c>
      <c r="B40" t="s">
        <v>36</v>
      </c>
      <c r="C40" t="s">
        <v>44</v>
      </c>
      <c r="D40" s="1">
        <v>1764009</v>
      </c>
      <c r="E40" s="1">
        <f t="shared" si="1"/>
        <v>1925472.2822673027</v>
      </c>
      <c r="F40" s="1">
        <f t="shared" si="2"/>
        <v>2200539.7511626314</v>
      </c>
      <c r="G40" s="1">
        <f t="shared" si="2"/>
        <v>2420593.7262788946</v>
      </c>
      <c r="H40" s="1">
        <f t="shared" si="2"/>
        <v>2640647.7013951577</v>
      </c>
      <c r="I40" s="1">
        <f t="shared" si="2"/>
        <v>2860701.6765114209</v>
      </c>
      <c r="J40" s="1">
        <f t="shared" si="3"/>
        <v>3080755.651627684</v>
      </c>
      <c r="K40" s="1">
        <f t="shared" si="3"/>
        <v>3300809.6267439472</v>
      </c>
    </row>
    <row r="41" spans="1:11" x14ac:dyDescent="0.25">
      <c r="A41" t="s">
        <v>3</v>
      </c>
      <c r="B41" t="s">
        <v>36</v>
      </c>
      <c r="C41" t="s">
        <v>45</v>
      </c>
      <c r="D41" s="1">
        <v>2576918</v>
      </c>
      <c r="E41" s="1">
        <f t="shared" si="1"/>
        <v>2812788.4736844841</v>
      </c>
      <c r="F41" s="1">
        <f t="shared" si="2"/>
        <v>3214615.3984965533</v>
      </c>
      <c r="G41" s="1">
        <f t="shared" si="2"/>
        <v>3536076.9383462081</v>
      </c>
      <c r="H41" s="1">
        <f t="shared" si="2"/>
        <v>3857538.4781958638</v>
      </c>
      <c r="I41" s="1">
        <f t="shared" si="2"/>
        <v>4179000.018045519</v>
      </c>
      <c r="J41" s="1">
        <f t="shared" si="3"/>
        <v>4500461.5578951743</v>
      </c>
      <c r="K41" s="1">
        <f t="shared" si="3"/>
        <v>4821923.09774483</v>
      </c>
    </row>
    <row r="42" spans="1:11" x14ac:dyDescent="0.25">
      <c r="A42" t="s">
        <v>3</v>
      </c>
      <c r="B42" t="s">
        <v>36</v>
      </c>
      <c r="C42" t="s">
        <v>46</v>
      </c>
      <c r="D42" s="1">
        <v>2825622</v>
      </c>
      <c r="E42" s="1">
        <f t="shared" si="1"/>
        <v>3084256.8496899395</v>
      </c>
      <c r="F42" s="1">
        <f t="shared" si="2"/>
        <v>3524864.9710742165</v>
      </c>
      <c r="G42" s="1">
        <f t="shared" si="2"/>
        <v>3877351.4681816376</v>
      </c>
      <c r="H42" s="1">
        <f t="shared" si="2"/>
        <v>4229837.9652890591</v>
      </c>
      <c r="I42" s="1">
        <f t="shared" si="2"/>
        <v>4582324.4623964811</v>
      </c>
      <c r="J42" s="1">
        <f t="shared" si="3"/>
        <v>4934810.9595039021</v>
      </c>
      <c r="K42" s="1">
        <f t="shared" si="3"/>
        <v>5287297.4566113241</v>
      </c>
    </row>
    <row r="43" spans="1:11" x14ac:dyDescent="0.25">
      <c r="A43" t="s">
        <v>3</v>
      </c>
      <c r="B43" t="s">
        <v>36</v>
      </c>
      <c r="C43" t="s">
        <v>47</v>
      </c>
      <c r="D43" s="1">
        <v>8083227</v>
      </c>
      <c r="E43" s="1">
        <f t="shared" si="1"/>
        <v>8823100.9817833602</v>
      </c>
      <c r="F43" s="1">
        <f t="shared" si="2"/>
        <v>10083543.979180982</v>
      </c>
      <c r="G43" s="1">
        <f t="shared" si="2"/>
        <v>11091898.37709908</v>
      </c>
      <c r="H43" s="1">
        <f t="shared" si="2"/>
        <v>12100252.775017178</v>
      </c>
      <c r="I43" s="1">
        <f t="shared" si="2"/>
        <v>13108607.172935277</v>
      </c>
      <c r="J43" s="1">
        <f t="shared" si="3"/>
        <v>14116961.570853373</v>
      </c>
      <c r="K43" s="1">
        <f t="shared" si="3"/>
        <v>15125315.968771473</v>
      </c>
    </row>
    <row r="44" spans="1:11" x14ac:dyDescent="0.25">
      <c r="A44" t="s">
        <v>3</v>
      </c>
      <c r="B44" t="s">
        <v>36</v>
      </c>
      <c r="C44" t="s">
        <v>48</v>
      </c>
      <c r="D44" s="1">
        <v>5068462</v>
      </c>
      <c r="E44" s="1">
        <f t="shared" si="1"/>
        <v>5532388.4938937938</v>
      </c>
      <c r="F44" s="1">
        <f t="shared" si="2"/>
        <v>6322729.7073071934</v>
      </c>
      <c r="G44" s="1">
        <f t="shared" si="2"/>
        <v>6955002.6780379117</v>
      </c>
      <c r="H44" s="1">
        <f t="shared" si="2"/>
        <v>7587275.6487686308</v>
      </c>
      <c r="I44" s="1">
        <f t="shared" si="2"/>
        <v>8219548.6194993509</v>
      </c>
      <c r="J44" s="1">
        <f t="shared" si="3"/>
        <v>8851821.5902300701</v>
      </c>
      <c r="K44" s="1">
        <f t="shared" si="3"/>
        <v>9484094.5609607883</v>
      </c>
    </row>
    <row r="45" spans="1:11" x14ac:dyDescent="0.25">
      <c r="A45" t="s">
        <v>3</v>
      </c>
      <c r="B45" t="s">
        <v>36</v>
      </c>
      <c r="C45" t="s">
        <v>49</v>
      </c>
      <c r="D45" s="1">
        <v>3630226</v>
      </c>
      <c r="E45" s="1">
        <f t="shared" si="1"/>
        <v>3962507.867797784</v>
      </c>
      <c r="F45" s="1">
        <f t="shared" si="2"/>
        <v>4528580.4203403248</v>
      </c>
      <c r="G45" s="1">
        <f t="shared" si="2"/>
        <v>4981438.4623743566</v>
      </c>
      <c r="H45" s="1">
        <f t="shared" si="2"/>
        <v>5434296.5044083893</v>
      </c>
      <c r="I45" s="1">
        <f t="shared" si="2"/>
        <v>5887154.5464424221</v>
      </c>
      <c r="J45" s="1">
        <f t="shared" si="3"/>
        <v>6340012.5884764539</v>
      </c>
      <c r="K45" s="1">
        <f t="shared" si="3"/>
        <v>6792870.6305104867</v>
      </c>
    </row>
    <row r="46" spans="1:11" x14ac:dyDescent="0.25">
      <c r="A46" t="s">
        <v>3</v>
      </c>
      <c r="B46" t="s">
        <v>36</v>
      </c>
      <c r="C46" t="s">
        <v>50</v>
      </c>
      <c r="D46" s="1">
        <v>7726021</v>
      </c>
      <c r="E46" s="1">
        <f t="shared" si="1"/>
        <v>8433199.2000693362</v>
      </c>
      <c r="F46" s="1">
        <f t="shared" si="2"/>
        <v>9637941.9429363832</v>
      </c>
      <c r="G46" s="1">
        <f t="shared" si="2"/>
        <v>10601736.13723002</v>
      </c>
      <c r="H46" s="1">
        <f t="shared" si="2"/>
        <v>11565530.331523659</v>
      </c>
      <c r="I46" s="1">
        <f t="shared" si="2"/>
        <v>12529324.525817297</v>
      </c>
      <c r="J46" s="1">
        <f t="shared" si="3"/>
        <v>13493118.720110936</v>
      </c>
      <c r="K46" s="1">
        <f t="shared" si="3"/>
        <v>14456912.914404575</v>
      </c>
    </row>
    <row r="47" spans="1:11" x14ac:dyDescent="0.25">
      <c r="A47" t="s">
        <v>3</v>
      </c>
      <c r="B47" t="s">
        <v>36</v>
      </c>
      <c r="C47" t="s">
        <v>51</v>
      </c>
      <c r="D47" s="1">
        <v>10112745</v>
      </c>
      <c r="E47" s="1">
        <f t="shared" si="1"/>
        <v>11038384.83541595</v>
      </c>
      <c r="F47" s="1">
        <f t="shared" si="2"/>
        <v>12615296.954761086</v>
      </c>
      <c r="G47" s="1">
        <f t="shared" si="2"/>
        <v>13876826.650237191</v>
      </c>
      <c r="H47" s="1">
        <f t="shared" si="2"/>
        <v>15138356.345713301</v>
      </c>
      <c r="I47" s="1">
        <f t="shared" si="2"/>
        <v>16399886.04118941</v>
      </c>
      <c r="J47" s="1">
        <f t="shared" si="3"/>
        <v>17661415.736665517</v>
      </c>
      <c r="K47" s="1">
        <f t="shared" si="3"/>
        <v>18922945.432141628</v>
      </c>
    </row>
    <row r="48" spans="1:11" x14ac:dyDescent="0.25">
      <c r="A48" t="s">
        <v>3</v>
      </c>
      <c r="B48" t="s">
        <v>36</v>
      </c>
      <c r="C48" t="s">
        <v>52</v>
      </c>
      <c r="D48" s="1">
        <v>2713763</v>
      </c>
      <c r="E48" s="1">
        <f t="shared" si="1"/>
        <v>2962159.1710374281</v>
      </c>
      <c r="F48" s="1">
        <f t="shared" si="2"/>
        <v>3385324.7668999177</v>
      </c>
      <c r="G48" s="1">
        <f t="shared" si="2"/>
        <v>3723857.2435899088</v>
      </c>
      <c r="H48" s="1">
        <f t="shared" si="2"/>
        <v>4062389.7202799008</v>
      </c>
      <c r="I48" s="1">
        <f t="shared" si="2"/>
        <v>4400922.1969698928</v>
      </c>
      <c r="J48" s="1">
        <f t="shared" si="3"/>
        <v>4739454.6736598844</v>
      </c>
      <c r="K48" s="1">
        <f t="shared" si="3"/>
        <v>5077987.1503498759</v>
      </c>
    </row>
    <row r="49" spans="1:11" x14ac:dyDescent="0.25">
      <c r="A49" t="s">
        <v>3</v>
      </c>
      <c r="B49" t="s">
        <v>53</v>
      </c>
      <c r="C49" t="s">
        <v>54</v>
      </c>
      <c r="D49" s="1">
        <v>7956481</v>
      </c>
      <c r="E49" s="1">
        <f t="shared" si="1"/>
        <v>8684753.6661584098</v>
      </c>
      <c r="F49" s="1">
        <f t="shared" si="2"/>
        <v>9925432.7613238972</v>
      </c>
      <c r="G49" s="1">
        <f t="shared" si="2"/>
        <v>10917976.037456285</v>
      </c>
      <c r="H49" s="1">
        <f t="shared" si="2"/>
        <v>11910519.313588675</v>
      </c>
      <c r="I49" s="1">
        <f t="shared" si="2"/>
        <v>12903062.589721067</v>
      </c>
      <c r="J49" s="1">
        <f t="shared" si="3"/>
        <v>13895605.865853455</v>
      </c>
      <c r="K49" s="1">
        <f t="shared" si="3"/>
        <v>14888149.141985845</v>
      </c>
    </row>
    <row r="50" spans="1:11" x14ac:dyDescent="0.25">
      <c r="A50" t="s">
        <v>3</v>
      </c>
      <c r="B50" t="s">
        <v>53</v>
      </c>
      <c r="C50" t="s">
        <v>55</v>
      </c>
      <c r="D50" s="1">
        <v>6352231</v>
      </c>
      <c r="E50" s="1">
        <f t="shared" si="1"/>
        <v>6933663.4456281746</v>
      </c>
      <c r="F50" s="1">
        <f t="shared" si="2"/>
        <v>7924186.7950036284</v>
      </c>
      <c r="G50" s="1">
        <f t="shared" si="2"/>
        <v>8716605.4745039903</v>
      </c>
      <c r="H50" s="1">
        <f t="shared" si="2"/>
        <v>9509024.1540043522</v>
      </c>
      <c r="I50" s="1">
        <f t="shared" si="2"/>
        <v>10301442.833504716</v>
      </c>
      <c r="J50" s="1">
        <f t="shared" si="3"/>
        <v>11093861.513005078</v>
      </c>
      <c r="K50" s="1">
        <f t="shared" si="3"/>
        <v>11886280.192505442</v>
      </c>
    </row>
    <row r="51" spans="1:11" x14ac:dyDescent="0.25">
      <c r="A51" t="s">
        <v>3</v>
      </c>
      <c r="B51" t="s">
        <v>53</v>
      </c>
      <c r="C51" t="s">
        <v>56</v>
      </c>
      <c r="D51" s="1">
        <v>5095577</v>
      </c>
      <c r="E51" s="1">
        <f t="shared" si="1"/>
        <v>5561985.3842348736</v>
      </c>
      <c r="F51" s="1">
        <f t="shared" si="2"/>
        <v>6356554.7248398559</v>
      </c>
      <c r="G51" s="1">
        <f t="shared" si="2"/>
        <v>6992210.1973238401</v>
      </c>
      <c r="H51" s="1">
        <f t="shared" si="2"/>
        <v>7627865.6698078262</v>
      </c>
      <c r="I51" s="1">
        <f t="shared" si="2"/>
        <v>8263521.1422918122</v>
      </c>
      <c r="J51" s="1">
        <f t="shared" si="3"/>
        <v>8899176.6147757974</v>
      </c>
      <c r="K51" s="1">
        <f t="shared" si="3"/>
        <v>9534832.0872597825</v>
      </c>
    </row>
    <row r="52" spans="1:11" x14ac:dyDescent="0.25">
      <c r="A52" t="s">
        <v>3</v>
      </c>
      <c r="B52" t="s">
        <v>53</v>
      </c>
      <c r="C52" t="s">
        <v>57</v>
      </c>
      <c r="D52" s="1">
        <v>3139803</v>
      </c>
      <c r="E52" s="1">
        <f t="shared" si="1"/>
        <v>3427195.4668483688</v>
      </c>
      <c r="F52" s="1">
        <f t="shared" si="2"/>
        <v>3916794.8192552784</v>
      </c>
      <c r="G52" s="1">
        <f t="shared" si="2"/>
        <v>4308474.301180806</v>
      </c>
      <c r="H52" s="1">
        <f t="shared" si="2"/>
        <v>4700153.7831063336</v>
      </c>
      <c r="I52" s="1">
        <f t="shared" si="2"/>
        <v>5091833.2650318621</v>
      </c>
      <c r="J52" s="1">
        <f t="shared" si="3"/>
        <v>5483512.7469573887</v>
      </c>
      <c r="K52" s="1">
        <f t="shared" si="3"/>
        <v>5875192.2288829172</v>
      </c>
    </row>
    <row r="53" spans="1:11" x14ac:dyDescent="0.25">
      <c r="A53" t="s">
        <v>3</v>
      </c>
      <c r="B53" t="s">
        <v>53</v>
      </c>
      <c r="C53" t="s">
        <v>58</v>
      </c>
      <c r="D53" s="1">
        <v>11108658</v>
      </c>
      <c r="E53" s="1">
        <f t="shared" si="1"/>
        <v>12125455.750048287</v>
      </c>
      <c r="F53" s="1">
        <f t="shared" si="2"/>
        <v>13857663.714340901</v>
      </c>
      <c r="G53" s="1">
        <f t="shared" si="2"/>
        <v>15243430.085774988</v>
      </c>
      <c r="H53" s="1">
        <f t="shared" si="2"/>
        <v>16629196.457209079</v>
      </c>
      <c r="I53" s="1">
        <f t="shared" si="2"/>
        <v>18014962.828643169</v>
      </c>
      <c r="J53" s="1">
        <f t="shared" si="3"/>
        <v>19400729.200077258</v>
      </c>
      <c r="K53" s="1">
        <f t="shared" si="3"/>
        <v>20786495.571511351</v>
      </c>
    </row>
    <row r="54" spans="1:11" x14ac:dyDescent="0.25">
      <c r="A54" t="s">
        <v>3</v>
      </c>
      <c r="B54" t="s">
        <v>53</v>
      </c>
      <c r="C54" t="s">
        <v>59</v>
      </c>
      <c r="D54" s="1">
        <v>9284915</v>
      </c>
      <c r="E54" s="1">
        <f t="shared" si="1"/>
        <v>10134781.894938128</v>
      </c>
      <c r="F54" s="1">
        <f t="shared" si="2"/>
        <v>11582607.879929289</v>
      </c>
      <c r="G54" s="1">
        <f t="shared" si="2"/>
        <v>12740868.667922217</v>
      </c>
      <c r="H54" s="1">
        <f t="shared" si="2"/>
        <v>13899129.455915147</v>
      </c>
      <c r="I54" s="1">
        <f t="shared" si="2"/>
        <v>15057390.243908076</v>
      </c>
      <c r="J54" s="1">
        <f t="shared" si="3"/>
        <v>16215651.031901004</v>
      </c>
      <c r="K54" s="1">
        <f t="shared" si="3"/>
        <v>17373911.819893934</v>
      </c>
    </row>
    <row r="55" spans="1:11" x14ac:dyDescent="0.25">
      <c r="A55" t="s">
        <v>3</v>
      </c>
      <c r="B55" t="s">
        <v>53</v>
      </c>
      <c r="C55" t="s">
        <v>60</v>
      </c>
      <c r="D55" s="1">
        <v>4590060</v>
      </c>
      <c r="E55" s="1">
        <f t="shared" si="1"/>
        <v>5010197.3991877912</v>
      </c>
      <c r="F55" s="1">
        <f t="shared" si="2"/>
        <v>5725939.8847860461</v>
      </c>
      <c r="G55" s="1">
        <f t="shared" si="2"/>
        <v>6298533.8732646508</v>
      </c>
      <c r="H55" s="1">
        <f t="shared" si="2"/>
        <v>6871127.8617432555</v>
      </c>
      <c r="I55" s="1">
        <f t="shared" si="2"/>
        <v>7443721.8502218602</v>
      </c>
      <c r="J55" s="1">
        <f t="shared" si="3"/>
        <v>8016315.838700464</v>
      </c>
      <c r="K55" s="1">
        <f t="shared" si="3"/>
        <v>8588909.8271790687</v>
      </c>
    </row>
    <row r="56" spans="1:11" x14ac:dyDescent="0.25">
      <c r="A56" t="s">
        <v>3</v>
      </c>
      <c r="B56" t="s">
        <v>53</v>
      </c>
      <c r="C56" t="s">
        <v>61</v>
      </c>
      <c r="D56" s="1">
        <v>4714647</v>
      </c>
      <c r="E56" s="1">
        <f t="shared" si="1"/>
        <v>5146188.0972119141</v>
      </c>
      <c r="F56" s="1">
        <f t="shared" si="2"/>
        <v>5881357.8253850453</v>
      </c>
      <c r="G56" s="1">
        <f t="shared" si="2"/>
        <v>6469493.6079235487</v>
      </c>
      <c r="H56" s="1">
        <f t="shared" si="2"/>
        <v>7057629.3904620539</v>
      </c>
      <c r="I56" s="1">
        <f t="shared" si="2"/>
        <v>7645765.1730005583</v>
      </c>
      <c r="J56" s="1">
        <f t="shared" si="3"/>
        <v>8233900.9555390617</v>
      </c>
      <c r="K56" s="1">
        <f t="shared" si="3"/>
        <v>8822036.738077566</v>
      </c>
    </row>
    <row r="57" spans="1:11" x14ac:dyDescent="0.25">
      <c r="A57" t="s">
        <v>3</v>
      </c>
      <c r="B57" t="s">
        <v>53</v>
      </c>
      <c r="C57" t="s">
        <v>62</v>
      </c>
      <c r="D57" s="1">
        <v>7799607</v>
      </c>
      <c r="E57" s="1">
        <f t="shared" si="1"/>
        <v>8513520.6742584817</v>
      </c>
      <c r="F57" s="1">
        <f t="shared" si="2"/>
        <v>9729737.9134382643</v>
      </c>
      <c r="G57" s="1">
        <f t="shared" si="2"/>
        <v>10702711.704782089</v>
      </c>
      <c r="H57" s="1">
        <f t="shared" si="2"/>
        <v>11675685.496125918</v>
      </c>
      <c r="I57" s="1">
        <f t="shared" si="2"/>
        <v>12648659.287469745</v>
      </c>
      <c r="J57" s="1">
        <f t="shared" si="3"/>
        <v>13621633.07881357</v>
      </c>
      <c r="K57" s="1">
        <f t="shared" si="3"/>
        <v>14594606.870157396</v>
      </c>
    </row>
    <row r="58" spans="1:11" x14ac:dyDescent="0.25">
      <c r="A58" t="s">
        <v>3</v>
      </c>
      <c r="B58" t="s">
        <v>53</v>
      </c>
      <c r="C58" t="s">
        <v>63</v>
      </c>
      <c r="D58" s="1">
        <v>4924159</v>
      </c>
      <c r="E58" s="1">
        <f t="shared" si="1"/>
        <v>5374877.1508405451</v>
      </c>
      <c r="F58" s="1">
        <f t="shared" si="2"/>
        <v>6142716.7438177653</v>
      </c>
      <c r="G58" s="1">
        <f t="shared" si="2"/>
        <v>6756988.418199541</v>
      </c>
      <c r="H58" s="1">
        <f t="shared" si="2"/>
        <v>7371260.0925813187</v>
      </c>
      <c r="I58" s="1">
        <f t="shared" si="2"/>
        <v>7985531.7669630954</v>
      </c>
      <c r="J58" s="1">
        <f t="shared" si="3"/>
        <v>8599803.4413448703</v>
      </c>
      <c r="K58" s="1">
        <f t="shared" si="3"/>
        <v>9214075.1157266479</v>
      </c>
    </row>
    <row r="59" spans="1:11" x14ac:dyDescent="0.25">
      <c r="A59" t="s">
        <v>3</v>
      </c>
      <c r="B59" t="s">
        <v>53</v>
      </c>
      <c r="C59" t="s">
        <v>64</v>
      </c>
      <c r="D59" s="1">
        <v>2658069</v>
      </c>
      <c r="E59" s="1">
        <f t="shared" si="1"/>
        <v>2901367.3874985711</v>
      </c>
      <c r="F59" s="1">
        <f t="shared" si="2"/>
        <v>3315848.4428555099</v>
      </c>
      <c r="G59" s="1">
        <f t="shared" si="2"/>
        <v>3647433.2871410605</v>
      </c>
      <c r="H59" s="1">
        <f t="shared" si="2"/>
        <v>3979018.1314266114</v>
      </c>
      <c r="I59" s="1">
        <f t="shared" si="2"/>
        <v>4310602.9757121624</v>
      </c>
      <c r="J59" s="1">
        <f t="shared" si="3"/>
        <v>4642187.819997713</v>
      </c>
      <c r="K59" s="1">
        <f t="shared" si="3"/>
        <v>4973772.6642832644</v>
      </c>
    </row>
    <row r="60" spans="1:11" x14ac:dyDescent="0.25">
      <c r="A60" t="s">
        <v>3</v>
      </c>
      <c r="B60" t="s">
        <v>53</v>
      </c>
      <c r="C60" t="s">
        <v>65</v>
      </c>
      <c r="D60" s="1">
        <v>4428479</v>
      </c>
      <c r="E60" s="1">
        <f t="shared" si="1"/>
        <v>4833826.5661359001</v>
      </c>
      <c r="F60" s="1">
        <f t="shared" si="2"/>
        <v>5524373.2184410281</v>
      </c>
      <c r="G60" s="1">
        <f t="shared" si="2"/>
        <v>6076810.54028513</v>
      </c>
      <c r="H60" s="1">
        <f t="shared" si="2"/>
        <v>6629247.8621292338</v>
      </c>
      <c r="I60" s="1">
        <f t="shared" si="2"/>
        <v>7181685.1839733366</v>
      </c>
      <c r="J60" s="1">
        <f t="shared" si="3"/>
        <v>7734122.5058174385</v>
      </c>
      <c r="K60" s="1">
        <f t="shared" si="3"/>
        <v>8286559.8276615422</v>
      </c>
    </row>
    <row r="61" spans="1:11" x14ac:dyDescent="0.25">
      <c r="A61" t="s">
        <v>3</v>
      </c>
      <c r="B61" t="s">
        <v>66</v>
      </c>
      <c r="C61" t="s">
        <v>67</v>
      </c>
      <c r="D61" s="1">
        <v>4703866</v>
      </c>
      <c r="E61" s="1">
        <f t="shared" si="1"/>
        <v>5134420.2906558691</v>
      </c>
      <c r="F61" s="1">
        <f t="shared" si="2"/>
        <v>5867908.9036067072</v>
      </c>
      <c r="G61" s="1">
        <f t="shared" si="2"/>
        <v>6454699.7939673765</v>
      </c>
      <c r="H61" s="1">
        <f t="shared" si="2"/>
        <v>7041490.6843280476</v>
      </c>
      <c r="I61" s="1">
        <f t="shared" si="2"/>
        <v>7628281.5746887187</v>
      </c>
      <c r="J61" s="1">
        <f t="shared" si="3"/>
        <v>8215072.4650493888</v>
      </c>
      <c r="K61" s="1">
        <f t="shared" si="3"/>
        <v>8801863.3554100599</v>
      </c>
    </row>
    <row r="62" spans="1:11" x14ac:dyDescent="0.25">
      <c r="A62" t="s">
        <v>3</v>
      </c>
      <c r="B62" t="s">
        <v>66</v>
      </c>
      <c r="C62" t="s">
        <v>68</v>
      </c>
      <c r="D62" s="1">
        <v>3074910</v>
      </c>
      <c r="E62" s="1">
        <f t="shared" si="1"/>
        <v>3356362.6803868641</v>
      </c>
      <c r="F62" s="1">
        <f t="shared" si="2"/>
        <v>3835843.0632992731</v>
      </c>
      <c r="G62" s="1">
        <f t="shared" si="2"/>
        <v>4219427.3696291996</v>
      </c>
      <c r="H62" s="1">
        <f t="shared" si="2"/>
        <v>4603011.675959128</v>
      </c>
      <c r="I62" s="1">
        <f t="shared" si="2"/>
        <v>4986595.9822890554</v>
      </c>
      <c r="J62" s="1">
        <f t="shared" si="3"/>
        <v>5370180.2886189818</v>
      </c>
      <c r="K62" s="1">
        <f t="shared" si="3"/>
        <v>5753764.5949489092</v>
      </c>
    </row>
    <row r="63" spans="1:11" x14ac:dyDescent="0.25">
      <c r="A63" t="s">
        <v>304</v>
      </c>
      <c r="B63" t="s">
        <v>338</v>
      </c>
      <c r="C63" t="s">
        <v>69</v>
      </c>
      <c r="D63" s="1">
        <v>2527522</v>
      </c>
      <c r="E63" s="1">
        <f t="shared" si="1"/>
        <v>2758871.1587190414</v>
      </c>
      <c r="F63" s="1">
        <f t="shared" si="2"/>
        <v>3152995.6099646185</v>
      </c>
      <c r="G63" s="1">
        <f t="shared" si="2"/>
        <v>3468295.1709610801</v>
      </c>
      <c r="H63" s="1">
        <f t="shared" si="2"/>
        <v>3783594.7319575422</v>
      </c>
      <c r="I63" s="1">
        <f t="shared" si="2"/>
        <v>4098894.2929540044</v>
      </c>
      <c r="J63" s="1">
        <f t="shared" si="3"/>
        <v>4414193.853950466</v>
      </c>
      <c r="K63" s="1">
        <f t="shared" si="3"/>
        <v>4729493.4149469277</v>
      </c>
    </row>
    <row r="64" spans="1:11" x14ac:dyDescent="0.25">
      <c r="A64" t="s">
        <v>3</v>
      </c>
      <c r="B64" t="s">
        <v>66</v>
      </c>
      <c r="C64" t="s">
        <v>70</v>
      </c>
      <c r="D64" s="1">
        <v>4411557</v>
      </c>
      <c r="E64" s="1">
        <f t="shared" si="1"/>
        <v>4815355.6615313729</v>
      </c>
      <c r="F64" s="1">
        <f t="shared" si="2"/>
        <v>5503263.6131787114</v>
      </c>
      <c r="G64" s="1">
        <f t="shared" si="2"/>
        <v>6053589.9744965816</v>
      </c>
      <c r="H64" s="1">
        <f t="shared" si="2"/>
        <v>6603916.3358144537</v>
      </c>
      <c r="I64" s="1">
        <f t="shared" si="2"/>
        <v>7154242.6971323248</v>
      </c>
      <c r="J64" s="1">
        <f t="shared" si="3"/>
        <v>7704569.058450195</v>
      </c>
      <c r="K64" s="1">
        <f t="shared" si="3"/>
        <v>8254895.4197680671</v>
      </c>
    </row>
    <row r="65" spans="1:11" x14ac:dyDescent="0.25">
      <c r="A65" t="s">
        <v>3</v>
      </c>
      <c r="B65" t="s">
        <v>66</v>
      </c>
      <c r="C65" t="s">
        <v>71</v>
      </c>
      <c r="D65" s="1">
        <v>5269345</v>
      </c>
      <c r="E65" s="1">
        <f t="shared" si="1"/>
        <v>5751658.7178431628</v>
      </c>
      <c r="F65" s="1">
        <f t="shared" si="2"/>
        <v>6573324.2489636149</v>
      </c>
      <c r="G65" s="1">
        <f t="shared" si="2"/>
        <v>7230656.6738599753</v>
      </c>
      <c r="H65" s="1">
        <f t="shared" si="2"/>
        <v>7887989.0987563375</v>
      </c>
      <c r="I65" s="1">
        <f t="shared" si="2"/>
        <v>8545321.5236526988</v>
      </c>
      <c r="J65" s="1">
        <f t="shared" si="3"/>
        <v>9202653.9485490602</v>
      </c>
      <c r="K65" s="1">
        <f t="shared" si="3"/>
        <v>9859986.3734454215</v>
      </c>
    </row>
    <row r="66" spans="1:11" x14ac:dyDescent="0.25">
      <c r="A66" t="s">
        <v>3</v>
      </c>
      <c r="B66" t="s">
        <v>66</v>
      </c>
      <c r="C66" t="s">
        <v>72</v>
      </c>
      <c r="D66" s="1">
        <v>6872762</v>
      </c>
      <c r="E66" s="1">
        <f t="shared" si="1"/>
        <v>7501839.6922124503</v>
      </c>
      <c r="F66" s="1">
        <f t="shared" si="2"/>
        <v>8573531.0768142287</v>
      </c>
      <c r="G66" s="1">
        <f t="shared" si="2"/>
        <v>9430884.1844956502</v>
      </c>
      <c r="H66" s="1">
        <f t="shared" si="2"/>
        <v>10288237.292177074</v>
      </c>
      <c r="I66" s="1">
        <f t="shared" si="2"/>
        <v>11145590.399858497</v>
      </c>
      <c r="J66" s="1">
        <f t="shared" si="3"/>
        <v>12002943.507539919</v>
      </c>
      <c r="K66" s="1">
        <f t="shared" si="3"/>
        <v>12860296.615221342</v>
      </c>
    </row>
    <row r="67" spans="1:11" x14ac:dyDescent="0.25">
      <c r="A67" t="s">
        <v>3</v>
      </c>
      <c r="B67" t="s">
        <v>66</v>
      </c>
      <c r="C67" t="s">
        <v>73</v>
      </c>
      <c r="D67" s="1">
        <v>4341393</v>
      </c>
      <c r="E67" s="1">
        <f t="shared" si="1"/>
        <v>4738769.4098665556</v>
      </c>
      <c r="F67" s="1">
        <f t="shared" si="2"/>
        <v>5415736.4684189204</v>
      </c>
      <c r="G67" s="1">
        <f t="shared" si="2"/>
        <v>5957310.1152608115</v>
      </c>
      <c r="H67" s="1">
        <f t="shared" si="2"/>
        <v>6498883.7621027036</v>
      </c>
      <c r="I67" s="1">
        <f t="shared" ref="I67" si="4">I$1/SUM($D$3:$D$696)*$D67</f>
        <v>7040457.4089445956</v>
      </c>
      <c r="J67" s="1">
        <f t="shared" si="3"/>
        <v>7582031.0557864876</v>
      </c>
      <c r="K67" s="1">
        <f t="shared" si="3"/>
        <v>8123604.7026283797</v>
      </c>
    </row>
    <row r="68" spans="1:11" x14ac:dyDescent="0.25">
      <c r="A68" t="s">
        <v>3</v>
      </c>
      <c r="B68" t="s">
        <v>4</v>
      </c>
      <c r="C68" t="s">
        <v>74</v>
      </c>
      <c r="D68" s="1">
        <v>2556167</v>
      </c>
      <c r="E68" s="1">
        <f t="shared" ref="E68:E131" si="5">$E$1/SUM($D$3:$D$696)*D68</f>
        <v>2790138.0930292103</v>
      </c>
      <c r="F68" s="1">
        <f t="shared" ref="F68:I131" si="6">F$1/SUM($D$3:$D$696)*$D68</f>
        <v>3188729.2491762405</v>
      </c>
      <c r="G68" s="1">
        <f t="shared" si="6"/>
        <v>3507602.1740938639</v>
      </c>
      <c r="H68" s="1">
        <f t="shared" si="6"/>
        <v>3826475.0990114883</v>
      </c>
      <c r="I68" s="1">
        <f t="shared" si="6"/>
        <v>4145348.0239291126</v>
      </c>
      <c r="J68" s="1">
        <f t="shared" ref="J68:K131" si="7">J$1/SUM($D$3:$D$696)*$D68</f>
        <v>4464220.948846736</v>
      </c>
      <c r="K68" s="1">
        <f t="shared" si="7"/>
        <v>4783093.8737643603</v>
      </c>
    </row>
    <row r="69" spans="1:11" x14ac:dyDescent="0.25">
      <c r="A69" t="s">
        <v>3</v>
      </c>
      <c r="B69" t="s">
        <v>66</v>
      </c>
      <c r="C69" t="s">
        <v>75</v>
      </c>
      <c r="D69" s="1">
        <v>3767539</v>
      </c>
      <c r="E69" s="1">
        <f t="shared" si="5"/>
        <v>4112389.4021295081</v>
      </c>
      <c r="F69" s="1">
        <f t="shared" si="6"/>
        <v>4699873.6024337234</v>
      </c>
      <c r="G69" s="1">
        <f t="shared" si="6"/>
        <v>5169860.9626770951</v>
      </c>
      <c r="H69" s="1">
        <f t="shared" si="6"/>
        <v>5639848.3229204677</v>
      </c>
      <c r="I69" s="1">
        <f t="shared" si="6"/>
        <v>6109835.6831638403</v>
      </c>
      <c r="J69" s="1">
        <f t="shared" si="7"/>
        <v>6579823.043407212</v>
      </c>
      <c r="K69" s="1">
        <f t="shared" si="7"/>
        <v>7049810.4036505846</v>
      </c>
    </row>
    <row r="70" spans="1:11" x14ac:dyDescent="0.25">
      <c r="A70" t="s">
        <v>3</v>
      </c>
      <c r="B70" t="s">
        <v>66</v>
      </c>
      <c r="C70" t="s">
        <v>76</v>
      </c>
      <c r="D70" s="1">
        <v>4726292</v>
      </c>
      <c r="E70" s="1">
        <f t="shared" si="5"/>
        <v>5158898.9874210926</v>
      </c>
      <c r="F70" s="1">
        <f t="shared" si="6"/>
        <v>5895884.5570526775</v>
      </c>
      <c r="G70" s="1">
        <f t="shared" si="6"/>
        <v>6485473.0127579449</v>
      </c>
      <c r="H70" s="1">
        <f t="shared" si="6"/>
        <v>7075061.4684632123</v>
      </c>
      <c r="I70" s="1">
        <f t="shared" si="6"/>
        <v>7664649.9241684806</v>
      </c>
      <c r="J70" s="1">
        <f t="shared" si="7"/>
        <v>8254238.3798737479</v>
      </c>
      <c r="K70" s="1">
        <f t="shared" si="7"/>
        <v>8843826.8355790153</v>
      </c>
    </row>
    <row r="71" spans="1:11" x14ac:dyDescent="0.25">
      <c r="A71" t="s">
        <v>3</v>
      </c>
      <c r="B71" t="s">
        <v>66</v>
      </c>
      <c r="C71" t="s">
        <v>77</v>
      </c>
      <c r="D71" s="1">
        <v>1764008</v>
      </c>
      <c r="E71" s="1">
        <f t="shared" si="5"/>
        <v>1925471.1907352968</v>
      </c>
      <c r="F71" s="1">
        <f t="shared" si="6"/>
        <v>2200538.5036974819</v>
      </c>
      <c r="G71" s="1">
        <f t="shared" si="6"/>
        <v>2420592.3540672301</v>
      </c>
      <c r="H71" s="1">
        <f t="shared" si="6"/>
        <v>2640646.2044369783</v>
      </c>
      <c r="I71" s="1">
        <f t="shared" si="6"/>
        <v>2860700.0548067265</v>
      </c>
      <c r="J71" s="1">
        <f t="shared" si="7"/>
        <v>3080753.9051764747</v>
      </c>
      <c r="K71" s="1">
        <f t="shared" si="7"/>
        <v>3300807.7555462229</v>
      </c>
    </row>
    <row r="72" spans="1:11" x14ac:dyDescent="0.25">
      <c r="A72" t="s">
        <v>3</v>
      </c>
      <c r="B72" t="s">
        <v>66</v>
      </c>
      <c r="C72" t="s">
        <v>78</v>
      </c>
      <c r="D72" s="1">
        <v>5212660</v>
      </c>
      <c r="E72" s="1">
        <f t="shared" si="5"/>
        <v>5689785.2260864191</v>
      </c>
      <c r="F72" s="1">
        <f t="shared" si="6"/>
        <v>6502611.6869559074</v>
      </c>
      <c r="G72" s="1">
        <f t="shared" si="6"/>
        <v>7152872.8556514978</v>
      </c>
      <c r="H72" s="1">
        <f t="shared" si="6"/>
        <v>7803134.0243470883</v>
      </c>
      <c r="I72" s="1">
        <f t="shared" si="6"/>
        <v>8453395.1930426788</v>
      </c>
      <c r="J72" s="1">
        <f t="shared" si="7"/>
        <v>9103656.3617382701</v>
      </c>
      <c r="K72" s="1">
        <f t="shared" si="7"/>
        <v>9753917.5304338615</v>
      </c>
    </row>
    <row r="73" spans="1:11" x14ac:dyDescent="0.25">
      <c r="A73" t="s">
        <v>3</v>
      </c>
      <c r="B73" t="s">
        <v>66</v>
      </c>
      <c r="C73" t="s">
        <v>79</v>
      </c>
      <c r="D73" s="1">
        <v>6399033</v>
      </c>
      <c r="E73" s="1">
        <f t="shared" si="5"/>
        <v>6984749.3265702073</v>
      </c>
      <c r="F73" s="1">
        <f t="shared" si="6"/>
        <v>7982570.6589373797</v>
      </c>
      <c r="G73" s="1">
        <f t="shared" si="6"/>
        <v>8780827.7248311173</v>
      </c>
      <c r="H73" s="1">
        <f t="shared" si="6"/>
        <v>9579084.7907248549</v>
      </c>
      <c r="I73" s="1">
        <f t="shared" si="6"/>
        <v>10377341.856618594</v>
      </c>
      <c r="J73" s="1">
        <f t="shared" si="7"/>
        <v>11175598.92251233</v>
      </c>
      <c r="K73" s="1">
        <f t="shared" si="7"/>
        <v>11973855.98840607</v>
      </c>
    </row>
    <row r="74" spans="1:11" x14ac:dyDescent="0.25">
      <c r="A74" t="s">
        <v>3</v>
      </c>
      <c r="B74" t="s">
        <v>66</v>
      </c>
      <c r="C74" t="s">
        <v>80</v>
      </c>
      <c r="D74" s="1">
        <v>3752630</v>
      </c>
      <c r="E74" s="1">
        <f t="shared" si="5"/>
        <v>4096115.7514529396</v>
      </c>
      <c r="F74" s="1">
        <f t="shared" si="6"/>
        <v>4681275.1445176452</v>
      </c>
      <c r="G74" s="1">
        <f t="shared" si="6"/>
        <v>5149402.6589694088</v>
      </c>
      <c r="H74" s="1">
        <f t="shared" si="6"/>
        <v>5617530.1734211734</v>
      </c>
      <c r="I74" s="1">
        <f t="shared" si="6"/>
        <v>6085657.6878729388</v>
      </c>
      <c r="J74" s="1">
        <f t="shared" si="7"/>
        <v>6553785.2023247024</v>
      </c>
      <c r="K74" s="1">
        <f t="shared" si="7"/>
        <v>7021912.7167764669</v>
      </c>
    </row>
    <row r="75" spans="1:11" x14ac:dyDescent="0.25">
      <c r="A75" t="s">
        <v>3</v>
      </c>
      <c r="B75" t="s">
        <v>66</v>
      </c>
      <c r="C75" t="s">
        <v>81</v>
      </c>
      <c r="D75" s="1">
        <v>3308489</v>
      </c>
      <c r="E75" s="1">
        <f t="shared" si="5"/>
        <v>3611321.6348024677</v>
      </c>
      <c r="F75" s="1">
        <f t="shared" si="6"/>
        <v>4127224.7254885342</v>
      </c>
      <c r="G75" s="1">
        <f t="shared" si="6"/>
        <v>4539947.1980373869</v>
      </c>
      <c r="H75" s="1">
        <f t="shared" si="6"/>
        <v>4952669.6705862405</v>
      </c>
      <c r="I75" s="1">
        <f t="shared" si="6"/>
        <v>5365392.143135095</v>
      </c>
      <c r="J75" s="1">
        <f t="shared" si="7"/>
        <v>5778114.6156839477</v>
      </c>
      <c r="K75" s="1">
        <f t="shared" si="7"/>
        <v>6190837.0882328013</v>
      </c>
    </row>
    <row r="76" spans="1:11" x14ac:dyDescent="0.25">
      <c r="A76" t="s">
        <v>82</v>
      </c>
      <c r="B76" t="s">
        <v>168</v>
      </c>
      <c r="C76" t="s">
        <v>84</v>
      </c>
      <c r="D76" s="1">
        <v>1699999</v>
      </c>
      <c r="E76" s="1">
        <f t="shared" si="5"/>
        <v>1855603.3185670439</v>
      </c>
      <c r="F76" s="1">
        <f t="shared" si="6"/>
        <v>2120689.5069337641</v>
      </c>
      <c r="G76" s="1">
        <f t="shared" si="6"/>
        <v>2332758.4576271405</v>
      </c>
      <c r="H76" s="1">
        <f t="shared" si="6"/>
        <v>2544827.4083205168</v>
      </c>
      <c r="I76" s="1">
        <f t="shared" si="6"/>
        <v>2756896.3590138936</v>
      </c>
      <c r="J76" s="1">
        <f t="shared" si="7"/>
        <v>2968965.3097072695</v>
      </c>
      <c r="K76" s="1">
        <f t="shared" si="7"/>
        <v>3181034.2604006464</v>
      </c>
    </row>
    <row r="77" spans="1:11" x14ac:dyDescent="0.25">
      <c r="A77" t="s">
        <v>82</v>
      </c>
      <c r="B77" t="s">
        <v>168</v>
      </c>
      <c r="C77" t="s">
        <v>85</v>
      </c>
      <c r="D77" s="1">
        <v>2062375</v>
      </c>
      <c r="E77" s="1">
        <f t="shared" si="5"/>
        <v>2251148.3207517811</v>
      </c>
      <c r="F77" s="1">
        <f t="shared" si="6"/>
        <v>2572740.9380020355</v>
      </c>
      <c r="G77" s="1">
        <f t="shared" si="6"/>
        <v>2830015.0318022384</v>
      </c>
      <c r="H77" s="1">
        <f t="shared" si="6"/>
        <v>3087289.1256024423</v>
      </c>
      <c r="I77" s="1">
        <f t="shared" si="6"/>
        <v>3344563.2194026462</v>
      </c>
      <c r="J77" s="1">
        <f t="shared" si="7"/>
        <v>3601837.3132028491</v>
      </c>
      <c r="K77" s="1">
        <f t="shared" si="7"/>
        <v>3859111.407003053</v>
      </c>
    </row>
    <row r="78" spans="1:11" x14ac:dyDescent="0.25">
      <c r="A78" t="s">
        <v>82</v>
      </c>
      <c r="B78" t="s">
        <v>137</v>
      </c>
      <c r="C78" t="s">
        <v>86</v>
      </c>
      <c r="D78" s="1">
        <v>2719083</v>
      </c>
      <c r="E78" s="1">
        <f t="shared" si="5"/>
        <v>2967966.1213090322</v>
      </c>
      <c r="F78" s="1">
        <f t="shared" si="6"/>
        <v>3391961.2814960363</v>
      </c>
      <c r="G78" s="1">
        <f t="shared" si="6"/>
        <v>3731157.4096456398</v>
      </c>
      <c r="H78" s="1">
        <f t="shared" si="6"/>
        <v>4070353.5377952438</v>
      </c>
      <c r="I78" s="1">
        <f t="shared" si="6"/>
        <v>4409549.6659448473</v>
      </c>
      <c r="J78" s="1">
        <f t="shared" si="7"/>
        <v>4748745.7940944508</v>
      </c>
      <c r="K78" s="1">
        <f t="shared" si="7"/>
        <v>5087941.9222440543</v>
      </c>
    </row>
    <row r="79" spans="1:11" x14ac:dyDescent="0.25">
      <c r="A79" t="s">
        <v>82</v>
      </c>
      <c r="B79" t="s">
        <v>168</v>
      </c>
      <c r="C79" t="s">
        <v>87</v>
      </c>
      <c r="D79" s="1">
        <v>1699999</v>
      </c>
      <c r="E79" s="1">
        <f t="shared" si="5"/>
        <v>1855603.3185670439</v>
      </c>
      <c r="F79" s="1">
        <f t="shared" si="6"/>
        <v>2120689.5069337641</v>
      </c>
      <c r="G79" s="1">
        <f t="shared" si="6"/>
        <v>2332758.4576271405</v>
      </c>
      <c r="H79" s="1">
        <f t="shared" si="6"/>
        <v>2544827.4083205168</v>
      </c>
      <c r="I79" s="1">
        <f t="shared" si="6"/>
        <v>2756896.3590138936</v>
      </c>
      <c r="J79" s="1">
        <f t="shared" si="7"/>
        <v>2968965.3097072695</v>
      </c>
      <c r="K79" s="1">
        <f t="shared" si="7"/>
        <v>3181034.2604006464</v>
      </c>
    </row>
    <row r="80" spans="1:11" x14ac:dyDescent="0.25">
      <c r="A80" t="s">
        <v>82</v>
      </c>
      <c r="B80" t="s">
        <v>168</v>
      </c>
      <c r="C80" t="s">
        <v>88</v>
      </c>
      <c r="D80" s="1">
        <v>3057956</v>
      </c>
      <c r="E80" s="1">
        <f t="shared" si="5"/>
        <v>3337856.8467581468</v>
      </c>
      <c r="F80" s="1">
        <f t="shared" si="6"/>
        <v>3814693.5391521677</v>
      </c>
      <c r="G80" s="1">
        <f t="shared" si="6"/>
        <v>4196162.8930673841</v>
      </c>
      <c r="H80" s="1">
        <f t="shared" si="6"/>
        <v>4577632.2469826015</v>
      </c>
      <c r="I80" s="1">
        <f t="shared" si="6"/>
        <v>4959101.6008978179</v>
      </c>
      <c r="J80" s="1">
        <f t="shared" si="7"/>
        <v>5340570.9548130343</v>
      </c>
      <c r="K80" s="1">
        <f t="shared" si="7"/>
        <v>5722040.3087282516</v>
      </c>
    </row>
    <row r="81" spans="1:11" x14ac:dyDescent="0.25">
      <c r="A81" t="s">
        <v>82</v>
      </c>
      <c r="B81" t="s">
        <v>168</v>
      </c>
      <c r="C81" t="s">
        <v>89</v>
      </c>
      <c r="D81" s="1">
        <v>5676097</v>
      </c>
      <c r="E81" s="1">
        <f t="shared" si="5"/>
        <v>6195641.5443235207</v>
      </c>
      <c r="F81" s="1">
        <f t="shared" si="6"/>
        <v>7080733.1935125953</v>
      </c>
      <c r="G81" s="1">
        <f t="shared" si="6"/>
        <v>7788806.5128638539</v>
      </c>
      <c r="H81" s="1">
        <f t="shared" si="6"/>
        <v>8496879.8322151136</v>
      </c>
      <c r="I81" s="1">
        <f t="shared" si="6"/>
        <v>9204953.1515663732</v>
      </c>
      <c r="J81" s="1">
        <f t="shared" si="7"/>
        <v>9913026.4709176328</v>
      </c>
      <c r="K81" s="1">
        <f t="shared" si="7"/>
        <v>10621099.790268892</v>
      </c>
    </row>
    <row r="82" spans="1:11" x14ac:dyDescent="0.25">
      <c r="A82" t="s">
        <v>82</v>
      </c>
      <c r="B82" t="s">
        <v>137</v>
      </c>
      <c r="C82" t="s">
        <v>90</v>
      </c>
      <c r="D82" s="1">
        <v>6769956</v>
      </c>
      <c r="E82" s="1">
        <f t="shared" si="5"/>
        <v>7389623.6528097186</v>
      </c>
      <c r="F82" s="1">
        <f t="shared" si="6"/>
        <v>8445284.1746396795</v>
      </c>
      <c r="G82" s="1">
        <f t="shared" si="6"/>
        <v>9289812.5921036452</v>
      </c>
      <c r="H82" s="1">
        <f t="shared" si="6"/>
        <v>10134341.009567615</v>
      </c>
      <c r="I82" s="1">
        <f t="shared" si="6"/>
        <v>10978869.427031582</v>
      </c>
      <c r="J82" s="1">
        <f t="shared" si="7"/>
        <v>11823397.84449555</v>
      </c>
      <c r="K82" s="1">
        <f t="shared" si="7"/>
        <v>12667926.261959517</v>
      </c>
    </row>
    <row r="83" spans="1:11" x14ac:dyDescent="0.25">
      <c r="A83" t="s">
        <v>82</v>
      </c>
      <c r="B83" t="s">
        <v>137</v>
      </c>
      <c r="C83" t="s">
        <v>91</v>
      </c>
      <c r="D83" s="1">
        <v>2692189</v>
      </c>
      <c r="E83" s="1">
        <f t="shared" si="5"/>
        <v>2938610.4595412649</v>
      </c>
      <c r="F83" s="1">
        <f t="shared" si="6"/>
        <v>3358411.9537614458</v>
      </c>
      <c r="G83" s="1">
        <f t="shared" si="6"/>
        <v>3694253.1491375901</v>
      </c>
      <c r="H83" s="1">
        <f t="shared" si="6"/>
        <v>4030094.3445137348</v>
      </c>
      <c r="I83" s="1">
        <f t="shared" si="6"/>
        <v>4365935.5398898795</v>
      </c>
      <c r="J83" s="1">
        <f t="shared" si="7"/>
        <v>4701776.7352660233</v>
      </c>
      <c r="K83" s="1">
        <f t="shared" si="7"/>
        <v>5037617.930642168</v>
      </c>
    </row>
    <row r="84" spans="1:11" x14ac:dyDescent="0.25">
      <c r="A84" t="s">
        <v>82</v>
      </c>
      <c r="B84" t="s">
        <v>168</v>
      </c>
      <c r="C84" t="s">
        <v>92</v>
      </c>
      <c r="D84" s="1">
        <v>1699999</v>
      </c>
      <c r="E84" s="1">
        <f t="shared" si="5"/>
        <v>1855603.3185670439</v>
      </c>
      <c r="F84" s="1">
        <f t="shared" si="6"/>
        <v>2120689.5069337641</v>
      </c>
      <c r="G84" s="1">
        <f t="shared" si="6"/>
        <v>2332758.4576271405</v>
      </c>
      <c r="H84" s="1">
        <f t="shared" si="6"/>
        <v>2544827.4083205168</v>
      </c>
      <c r="I84" s="1">
        <f t="shared" si="6"/>
        <v>2756896.3590138936</v>
      </c>
      <c r="J84" s="1">
        <f t="shared" si="7"/>
        <v>2968965.3097072695</v>
      </c>
      <c r="K84" s="1">
        <f t="shared" si="7"/>
        <v>3181034.2604006464</v>
      </c>
    </row>
    <row r="85" spans="1:11" x14ac:dyDescent="0.25">
      <c r="A85" t="s">
        <v>82</v>
      </c>
      <c r="B85" t="s">
        <v>168</v>
      </c>
      <c r="C85" t="s">
        <v>93</v>
      </c>
      <c r="D85" s="1">
        <v>1788595</v>
      </c>
      <c r="E85" s="1">
        <f t="shared" si="5"/>
        <v>1952308.6881653587</v>
      </c>
      <c r="F85" s="1">
        <f t="shared" si="6"/>
        <v>2231209.9293318386</v>
      </c>
      <c r="G85" s="1">
        <f t="shared" si="6"/>
        <v>2454330.9222650221</v>
      </c>
      <c r="H85" s="1">
        <f t="shared" si="6"/>
        <v>2677451.915198206</v>
      </c>
      <c r="I85" s="1">
        <f t="shared" si="6"/>
        <v>2900572.9081313899</v>
      </c>
      <c r="J85" s="1">
        <f t="shared" si="7"/>
        <v>3123693.9010645738</v>
      </c>
      <c r="K85" s="1">
        <f t="shared" si="7"/>
        <v>3346814.8939977577</v>
      </c>
    </row>
    <row r="86" spans="1:11" x14ac:dyDescent="0.25">
      <c r="A86" t="s">
        <v>82</v>
      </c>
      <c r="B86" t="s">
        <v>137</v>
      </c>
      <c r="C86" t="s">
        <v>94</v>
      </c>
      <c r="D86" s="1">
        <v>1699999</v>
      </c>
      <c r="E86" s="1">
        <f t="shared" si="5"/>
        <v>1855603.3185670439</v>
      </c>
      <c r="F86" s="1">
        <f t="shared" si="6"/>
        <v>2120689.5069337641</v>
      </c>
      <c r="G86" s="1">
        <f t="shared" si="6"/>
        <v>2332758.4576271405</v>
      </c>
      <c r="H86" s="1">
        <f t="shared" si="6"/>
        <v>2544827.4083205168</v>
      </c>
      <c r="I86" s="1">
        <f t="shared" si="6"/>
        <v>2756896.3590138936</v>
      </c>
      <c r="J86" s="1">
        <f t="shared" si="7"/>
        <v>2968965.3097072695</v>
      </c>
      <c r="K86" s="1">
        <f t="shared" si="7"/>
        <v>3181034.2604006464</v>
      </c>
    </row>
    <row r="87" spans="1:11" x14ac:dyDescent="0.25">
      <c r="A87" t="s">
        <v>82</v>
      </c>
      <c r="B87" t="s">
        <v>168</v>
      </c>
      <c r="C87" t="s">
        <v>95</v>
      </c>
      <c r="D87" s="1">
        <v>1699999</v>
      </c>
      <c r="E87" s="1">
        <f t="shared" si="5"/>
        <v>1855603.3185670439</v>
      </c>
      <c r="F87" s="1">
        <f t="shared" si="6"/>
        <v>2120689.5069337641</v>
      </c>
      <c r="G87" s="1">
        <f t="shared" si="6"/>
        <v>2332758.4576271405</v>
      </c>
      <c r="H87" s="1">
        <f t="shared" si="6"/>
        <v>2544827.4083205168</v>
      </c>
      <c r="I87" s="1">
        <f t="shared" si="6"/>
        <v>2756896.3590138936</v>
      </c>
      <c r="J87" s="1">
        <f t="shared" si="7"/>
        <v>2968965.3097072695</v>
      </c>
      <c r="K87" s="1">
        <f t="shared" si="7"/>
        <v>3181034.2604006464</v>
      </c>
    </row>
    <row r="88" spans="1:11" x14ac:dyDescent="0.25">
      <c r="A88" t="s">
        <v>82</v>
      </c>
      <c r="B88" t="s">
        <v>168</v>
      </c>
      <c r="C88" t="s">
        <v>96</v>
      </c>
      <c r="D88" s="1">
        <v>2086833</v>
      </c>
      <c r="E88" s="1">
        <f t="shared" si="5"/>
        <v>2277845.0105530769</v>
      </c>
      <c r="F88" s="1">
        <f t="shared" si="6"/>
        <v>2603251.4406320876</v>
      </c>
      <c r="G88" s="1">
        <f t="shared" si="6"/>
        <v>2863576.5846952959</v>
      </c>
      <c r="H88" s="1">
        <f t="shared" si="6"/>
        <v>3123901.7287585046</v>
      </c>
      <c r="I88" s="1">
        <f t="shared" si="6"/>
        <v>3384226.8728217138</v>
      </c>
      <c r="J88" s="1">
        <f t="shared" si="7"/>
        <v>3644552.016884922</v>
      </c>
      <c r="K88" s="1">
        <f t="shared" si="7"/>
        <v>3904877.1609481312</v>
      </c>
    </row>
    <row r="89" spans="1:11" x14ac:dyDescent="0.25">
      <c r="A89" t="s">
        <v>3</v>
      </c>
      <c r="B89" t="s">
        <v>20</v>
      </c>
      <c r="C89" t="s">
        <v>98</v>
      </c>
      <c r="D89" s="1">
        <v>3002646</v>
      </c>
      <c r="E89" s="1">
        <f t="shared" si="5"/>
        <v>3277484.2115095714</v>
      </c>
      <c r="F89" s="1">
        <f t="shared" si="6"/>
        <v>3745696.2417252245</v>
      </c>
      <c r="G89" s="1">
        <f t="shared" si="6"/>
        <v>4120265.8658977463</v>
      </c>
      <c r="H89" s="1">
        <f t="shared" si="6"/>
        <v>4494835.4900702685</v>
      </c>
      <c r="I89" s="1">
        <f t="shared" si="6"/>
        <v>4869405.1142427912</v>
      </c>
      <c r="J89" s="1">
        <f t="shared" si="7"/>
        <v>5243974.7384153139</v>
      </c>
      <c r="K89" s="1">
        <f t="shared" si="7"/>
        <v>5618544.3625878366</v>
      </c>
    </row>
    <row r="90" spans="1:11" x14ac:dyDescent="0.25">
      <c r="A90" t="s">
        <v>82</v>
      </c>
      <c r="B90" t="s">
        <v>168</v>
      </c>
      <c r="C90" t="s">
        <v>99</v>
      </c>
      <c r="D90" s="1">
        <v>4386709</v>
      </c>
      <c r="E90" s="1">
        <f t="shared" si="5"/>
        <v>4788233.27424776</v>
      </c>
      <c r="F90" s="1">
        <f t="shared" si="6"/>
        <v>5472266.5991402976</v>
      </c>
      <c r="G90" s="1">
        <f t="shared" si="6"/>
        <v>6019493.2590543265</v>
      </c>
      <c r="H90" s="1">
        <f t="shared" si="6"/>
        <v>6566719.9189683562</v>
      </c>
      <c r="I90" s="1">
        <f t="shared" si="6"/>
        <v>7113946.578882386</v>
      </c>
      <c r="J90" s="1">
        <f t="shared" si="7"/>
        <v>7661173.2387964157</v>
      </c>
      <c r="K90" s="1">
        <f t="shared" si="7"/>
        <v>8208399.8987104455</v>
      </c>
    </row>
    <row r="91" spans="1:11" x14ac:dyDescent="0.25">
      <c r="A91" t="s">
        <v>82</v>
      </c>
      <c r="B91" t="s">
        <v>97</v>
      </c>
      <c r="C91" t="s">
        <v>100</v>
      </c>
      <c r="D91" s="1">
        <v>6984999</v>
      </c>
      <c r="E91" s="1">
        <f t="shared" si="5"/>
        <v>7624349.9699632069</v>
      </c>
      <c r="F91" s="1">
        <f t="shared" si="6"/>
        <v>8713542.8228150941</v>
      </c>
      <c r="G91" s="1">
        <f t="shared" si="6"/>
        <v>9584897.1050966028</v>
      </c>
      <c r="H91" s="1">
        <f t="shared" si="6"/>
        <v>10456251.387378111</v>
      </c>
      <c r="I91" s="1">
        <f t="shared" si="6"/>
        <v>11327605.669659622</v>
      </c>
      <c r="J91" s="1">
        <f t="shared" si="7"/>
        <v>12198959.951941131</v>
      </c>
      <c r="K91" s="1">
        <f t="shared" si="7"/>
        <v>13070314.234222639</v>
      </c>
    </row>
    <row r="92" spans="1:11" x14ac:dyDescent="0.25">
      <c r="A92" t="s">
        <v>3</v>
      </c>
      <c r="B92" t="s">
        <v>53</v>
      </c>
      <c r="C92" t="s">
        <v>101</v>
      </c>
      <c r="D92" s="1">
        <v>8052552</v>
      </c>
      <c r="E92" s="1">
        <f t="shared" si="5"/>
        <v>8789618.2375011314</v>
      </c>
      <c r="F92" s="1">
        <f t="shared" si="6"/>
        <v>10045277.985715579</v>
      </c>
      <c r="G92" s="1">
        <f t="shared" si="6"/>
        <v>11049805.784287134</v>
      </c>
      <c r="H92" s="1">
        <f t="shared" si="6"/>
        <v>12054333.582858693</v>
      </c>
      <c r="I92" s="1">
        <f t="shared" si="6"/>
        <v>13058861.381430252</v>
      </c>
      <c r="J92" s="1">
        <f t="shared" si="7"/>
        <v>14063389.180001808</v>
      </c>
      <c r="K92" s="1">
        <f t="shared" si="7"/>
        <v>15067916.978573367</v>
      </c>
    </row>
    <row r="93" spans="1:11" x14ac:dyDescent="0.25">
      <c r="A93" t="s">
        <v>82</v>
      </c>
      <c r="B93" t="s">
        <v>168</v>
      </c>
      <c r="C93" t="s">
        <v>102</v>
      </c>
      <c r="D93" s="1">
        <v>1700001</v>
      </c>
      <c r="E93" s="1">
        <f t="shared" si="5"/>
        <v>1855605.5016310557</v>
      </c>
      <c r="F93" s="1">
        <f t="shared" si="6"/>
        <v>2120692.0018640636</v>
      </c>
      <c r="G93" s="1">
        <f t="shared" si="6"/>
        <v>2332761.2020504698</v>
      </c>
      <c r="H93" s="1">
        <f t="shared" si="6"/>
        <v>2544830.4022368761</v>
      </c>
      <c r="I93" s="1">
        <f t="shared" si="6"/>
        <v>2756899.6024232828</v>
      </c>
      <c r="J93" s="1">
        <f t="shared" si="7"/>
        <v>2968968.8026096886</v>
      </c>
      <c r="K93" s="1">
        <f t="shared" si="7"/>
        <v>3181038.0027960953</v>
      </c>
    </row>
    <row r="94" spans="1:11" x14ac:dyDescent="0.25">
      <c r="A94" t="s">
        <v>82</v>
      </c>
      <c r="B94" t="s">
        <v>97</v>
      </c>
      <c r="C94" t="s">
        <v>103</v>
      </c>
      <c r="D94" s="1">
        <v>1700000</v>
      </c>
      <c r="E94" s="1">
        <f t="shared" si="5"/>
        <v>1855604.4100990498</v>
      </c>
      <c r="F94" s="1">
        <f t="shared" si="6"/>
        <v>2120690.7543989141</v>
      </c>
      <c r="G94" s="1">
        <f t="shared" si="6"/>
        <v>2332759.8298388049</v>
      </c>
      <c r="H94" s="1">
        <f t="shared" si="6"/>
        <v>2544828.9052786967</v>
      </c>
      <c r="I94" s="1">
        <f t="shared" si="6"/>
        <v>2756897.980718588</v>
      </c>
      <c r="J94" s="1">
        <f t="shared" si="7"/>
        <v>2968967.0561584793</v>
      </c>
      <c r="K94" s="1">
        <f t="shared" si="7"/>
        <v>3181036.1315983706</v>
      </c>
    </row>
    <row r="95" spans="1:11" x14ac:dyDescent="0.25">
      <c r="A95" t="s">
        <v>82</v>
      </c>
      <c r="B95" t="s">
        <v>97</v>
      </c>
      <c r="C95" t="s">
        <v>104</v>
      </c>
      <c r="D95" s="1">
        <v>1700000</v>
      </c>
      <c r="E95" s="1">
        <f t="shared" si="5"/>
        <v>1855604.4100990498</v>
      </c>
      <c r="F95" s="1">
        <f t="shared" si="6"/>
        <v>2120690.7543989141</v>
      </c>
      <c r="G95" s="1">
        <f t="shared" si="6"/>
        <v>2332759.8298388049</v>
      </c>
      <c r="H95" s="1">
        <f t="shared" si="6"/>
        <v>2544828.9052786967</v>
      </c>
      <c r="I95" s="1">
        <f t="shared" si="6"/>
        <v>2756897.980718588</v>
      </c>
      <c r="J95" s="1">
        <f t="shared" si="7"/>
        <v>2968967.0561584793</v>
      </c>
      <c r="K95" s="1">
        <f t="shared" si="7"/>
        <v>3181036.1315983706</v>
      </c>
    </row>
    <row r="96" spans="1:11" x14ac:dyDescent="0.25">
      <c r="A96" t="s">
        <v>3</v>
      </c>
      <c r="B96" t="s">
        <v>20</v>
      </c>
      <c r="C96" t="s">
        <v>105</v>
      </c>
      <c r="D96" s="1">
        <v>1764008</v>
      </c>
      <c r="E96" s="1">
        <f t="shared" si="5"/>
        <v>1925471.1907352968</v>
      </c>
      <c r="F96" s="1">
        <f t="shared" si="6"/>
        <v>2200538.5036974819</v>
      </c>
      <c r="G96" s="1">
        <f t="shared" si="6"/>
        <v>2420592.3540672301</v>
      </c>
      <c r="H96" s="1">
        <f t="shared" si="6"/>
        <v>2640646.2044369783</v>
      </c>
      <c r="I96" s="1">
        <f t="shared" si="6"/>
        <v>2860700.0548067265</v>
      </c>
      <c r="J96" s="1">
        <f t="shared" si="7"/>
        <v>3080753.9051764747</v>
      </c>
      <c r="K96" s="1">
        <f t="shared" si="7"/>
        <v>3300807.7555462229</v>
      </c>
    </row>
    <row r="97" spans="1:11" x14ac:dyDescent="0.25">
      <c r="A97" t="s">
        <v>82</v>
      </c>
      <c r="B97" t="s">
        <v>97</v>
      </c>
      <c r="C97" t="s">
        <v>106</v>
      </c>
      <c r="D97" s="1">
        <v>3208444</v>
      </c>
      <c r="E97" s="1">
        <f t="shared" si="5"/>
        <v>3502119.3152681384</v>
      </c>
      <c r="F97" s="1">
        <f t="shared" si="6"/>
        <v>4002422.0745921582</v>
      </c>
      <c r="G97" s="1">
        <f t="shared" si="6"/>
        <v>4402664.2820513733</v>
      </c>
      <c r="H97" s="1">
        <f t="shared" si="6"/>
        <v>4802906.4895105893</v>
      </c>
      <c r="I97" s="1">
        <f t="shared" si="6"/>
        <v>5203148.6969698053</v>
      </c>
      <c r="J97" s="1">
        <f t="shared" si="7"/>
        <v>5603390.9044290213</v>
      </c>
      <c r="K97" s="1">
        <f t="shared" si="7"/>
        <v>6003633.1118882373</v>
      </c>
    </row>
    <row r="98" spans="1:11" x14ac:dyDescent="0.25">
      <c r="A98" t="s">
        <v>3</v>
      </c>
      <c r="B98" t="s">
        <v>20</v>
      </c>
      <c r="C98" t="s">
        <v>107</v>
      </c>
      <c r="D98" s="1">
        <v>2056973</v>
      </c>
      <c r="E98" s="1">
        <f t="shared" si="5"/>
        <v>2245251.8648556899</v>
      </c>
      <c r="F98" s="1">
        <f t="shared" si="6"/>
        <v>2566002.1312636454</v>
      </c>
      <c r="G98" s="1">
        <f t="shared" si="6"/>
        <v>2822602.3443900095</v>
      </c>
      <c r="H98" s="1">
        <f t="shared" si="6"/>
        <v>3079202.5575163742</v>
      </c>
      <c r="I98" s="1">
        <f t="shared" si="6"/>
        <v>3335802.7706427388</v>
      </c>
      <c r="J98" s="1">
        <f t="shared" si="7"/>
        <v>3592402.9837691034</v>
      </c>
      <c r="K98" s="1">
        <f t="shared" si="7"/>
        <v>3849003.196895468</v>
      </c>
    </row>
    <row r="99" spans="1:11" x14ac:dyDescent="0.25">
      <c r="A99" t="s">
        <v>82</v>
      </c>
      <c r="B99" t="s">
        <v>97</v>
      </c>
      <c r="C99" t="s">
        <v>108</v>
      </c>
      <c r="D99" s="1">
        <v>4335094</v>
      </c>
      <c r="E99" s="1">
        <f t="shared" si="5"/>
        <v>4731893.8497611349</v>
      </c>
      <c r="F99" s="1">
        <f t="shared" si="6"/>
        <v>5407878.6854412975</v>
      </c>
      <c r="G99" s="1">
        <f t="shared" si="6"/>
        <v>5948666.5539854262</v>
      </c>
      <c r="H99" s="1">
        <f t="shared" si="6"/>
        <v>6489454.4225295568</v>
      </c>
      <c r="I99" s="1">
        <f t="shared" si="6"/>
        <v>7030242.2910736864</v>
      </c>
      <c r="J99" s="1">
        <f t="shared" si="7"/>
        <v>7571030.1596178152</v>
      </c>
      <c r="K99" s="1">
        <f t="shared" si="7"/>
        <v>8111818.0281619458</v>
      </c>
    </row>
    <row r="100" spans="1:11" x14ac:dyDescent="0.25">
      <c r="A100" t="s">
        <v>82</v>
      </c>
      <c r="B100" t="s">
        <v>97</v>
      </c>
      <c r="C100" t="s">
        <v>109</v>
      </c>
      <c r="D100" s="1">
        <v>3330473</v>
      </c>
      <c r="E100" s="1">
        <f t="shared" si="5"/>
        <v>3635317.8744210661</v>
      </c>
      <c r="F100" s="1">
        <f t="shared" si="6"/>
        <v>4154648.9993383614</v>
      </c>
      <c r="G100" s="1">
        <f t="shared" si="6"/>
        <v>4570113.8992721969</v>
      </c>
      <c r="H100" s="1">
        <f t="shared" si="6"/>
        <v>4985578.7992060333</v>
      </c>
      <c r="I100" s="1">
        <f t="shared" si="6"/>
        <v>5401043.6991398698</v>
      </c>
      <c r="J100" s="1">
        <f t="shared" si="7"/>
        <v>5816508.5990737053</v>
      </c>
      <c r="K100" s="1">
        <f t="shared" si="7"/>
        <v>6231973.4990075417</v>
      </c>
    </row>
    <row r="101" spans="1:11" x14ac:dyDescent="0.25">
      <c r="A101" t="s">
        <v>3</v>
      </c>
      <c r="B101" t="s">
        <v>53</v>
      </c>
      <c r="C101" t="s">
        <v>110</v>
      </c>
      <c r="D101" s="1">
        <v>1764009</v>
      </c>
      <c r="E101" s="1">
        <f t="shared" si="5"/>
        <v>1925472.2822673027</v>
      </c>
      <c r="F101" s="1">
        <f t="shared" si="6"/>
        <v>2200539.7511626314</v>
      </c>
      <c r="G101" s="1">
        <f t="shared" si="6"/>
        <v>2420593.7262788946</v>
      </c>
      <c r="H101" s="1">
        <f t="shared" si="6"/>
        <v>2640647.7013951577</v>
      </c>
      <c r="I101" s="1">
        <f t="shared" si="6"/>
        <v>2860701.6765114209</v>
      </c>
      <c r="J101" s="1">
        <f t="shared" si="7"/>
        <v>3080755.651627684</v>
      </c>
      <c r="K101" s="1">
        <f t="shared" si="7"/>
        <v>3300809.6267439472</v>
      </c>
    </row>
    <row r="102" spans="1:11" x14ac:dyDescent="0.25">
      <c r="A102" t="s">
        <v>82</v>
      </c>
      <c r="B102" t="s">
        <v>97</v>
      </c>
      <c r="C102" t="s">
        <v>111</v>
      </c>
      <c r="D102" s="1">
        <v>3832018</v>
      </c>
      <c r="E102" s="1">
        <f t="shared" si="5"/>
        <v>4182770.2943405532</v>
      </c>
      <c r="F102" s="1">
        <f t="shared" si="6"/>
        <v>4780308.9078177754</v>
      </c>
      <c r="G102" s="1">
        <f t="shared" si="6"/>
        <v>5258339.7985995514</v>
      </c>
      <c r="H102" s="1">
        <f t="shared" si="6"/>
        <v>5736370.6893813293</v>
      </c>
      <c r="I102" s="1">
        <f t="shared" si="6"/>
        <v>6214401.5801631073</v>
      </c>
      <c r="J102" s="1">
        <f t="shared" si="7"/>
        <v>6692432.4709448842</v>
      </c>
      <c r="K102" s="1">
        <f t="shared" si="7"/>
        <v>7170463.3617266621</v>
      </c>
    </row>
    <row r="103" spans="1:11" x14ac:dyDescent="0.25">
      <c r="A103" t="s">
        <v>82</v>
      </c>
      <c r="B103" t="s">
        <v>97</v>
      </c>
      <c r="C103" t="s">
        <v>113</v>
      </c>
      <c r="D103" s="1">
        <v>3413921</v>
      </c>
      <c r="E103" s="1">
        <f t="shared" si="5"/>
        <v>3726404.0372527987</v>
      </c>
      <c r="F103" s="1">
        <f t="shared" si="6"/>
        <v>4258747.4711460555</v>
      </c>
      <c r="G103" s="1">
        <f t="shared" si="6"/>
        <v>4684622.2182606608</v>
      </c>
      <c r="H103" s="1">
        <f t="shared" si="6"/>
        <v>5110496.965375267</v>
      </c>
      <c r="I103" s="1">
        <f t="shared" si="6"/>
        <v>5536371.7124898722</v>
      </c>
      <c r="J103" s="1">
        <f t="shared" si="7"/>
        <v>5962246.4596044775</v>
      </c>
      <c r="K103" s="1">
        <f t="shared" si="7"/>
        <v>6388121.2067190828</v>
      </c>
    </row>
    <row r="104" spans="1:11" x14ac:dyDescent="0.25">
      <c r="A104" t="s">
        <v>82</v>
      </c>
      <c r="B104" t="s">
        <v>137</v>
      </c>
      <c r="C104" t="s">
        <v>114</v>
      </c>
      <c r="D104" s="1">
        <v>3174928</v>
      </c>
      <c r="E104" s="1">
        <f t="shared" si="5"/>
        <v>3465535.5285570328</v>
      </c>
      <c r="F104" s="1">
        <f t="shared" si="6"/>
        <v>3960612.0326366089</v>
      </c>
      <c r="G104" s="1">
        <f t="shared" si="6"/>
        <v>4356673.2359002689</v>
      </c>
      <c r="H104" s="1">
        <f t="shared" si="6"/>
        <v>4752734.4391639307</v>
      </c>
      <c r="I104" s="1">
        <f t="shared" si="6"/>
        <v>5148795.6424275916</v>
      </c>
      <c r="J104" s="1">
        <f t="shared" si="7"/>
        <v>5544856.8456912516</v>
      </c>
      <c r="K104" s="1">
        <f t="shared" si="7"/>
        <v>5940918.0489549134</v>
      </c>
    </row>
    <row r="105" spans="1:11" x14ac:dyDescent="0.25">
      <c r="A105" t="s">
        <v>82</v>
      </c>
      <c r="B105" t="s">
        <v>97</v>
      </c>
      <c r="C105" t="s">
        <v>115</v>
      </c>
      <c r="D105" s="1">
        <v>4345177</v>
      </c>
      <c r="E105" s="1">
        <f t="shared" si="5"/>
        <v>4742899.7669770345</v>
      </c>
      <c r="F105" s="1">
        <f t="shared" si="6"/>
        <v>5420456.8765451824</v>
      </c>
      <c r="G105" s="1">
        <f t="shared" si="6"/>
        <v>5962502.5641997</v>
      </c>
      <c r="H105" s="1">
        <f t="shared" si="6"/>
        <v>6504548.2518542185</v>
      </c>
      <c r="I105" s="1">
        <f t="shared" si="6"/>
        <v>7046593.9395087371</v>
      </c>
      <c r="J105" s="1">
        <f t="shared" si="7"/>
        <v>7588639.6271632547</v>
      </c>
      <c r="K105" s="1">
        <f t="shared" si="7"/>
        <v>8130685.3148177732</v>
      </c>
    </row>
    <row r="106" spans="1:11" x14ac:dyDescent="0.25">
      <c r="A106" t="s">
        <v>82</v>
      </c>
      <c r="B106" t="s">
        <v>97</v>
      </c>
      <c r="C106" t="s">
        <v>116</v>
      </c>
      <c r="D106" s="1">
        <v>3048675</v>
      </c>
      <c r="E106" s="1">
        <f t="shared" si="5"/>
        <v>3327726.3382110121</v>
      </c>
      <c r="F106" s="1">
        <f t="shared" si="6"/>
        <v>3803115.8150982992</v>
      </c>
      <c r="G106" s="1">
        <f t="shared" si="6"/>
        <v>4183427.3966081287</v>
      </c>
      <c r="H106" s="1">
        <f t="shared" si="6"/>
        <v>4563738.9781179586</v>
      </c>
      <c r="I106" s="1">
        <f t="shared" si="6"/>
        <v>4944050.5596277891</v>
      </c>
      <c r="J106" s="1">
        <f t="shared" si="7"/>
        <v>5324362.1411376186</v>
      </c>
      <c r="K106" s="1">
        <f t="shared" si="7"/>
        <v>5704673.722647449</v>
      </c>
    </row>
    <row r="107" spans="1:11" x14ac:dyDescent="0.25">
      <c r="A107" t="s">
        <v>82</v>
      </c>
      <c r="B107" t="s">
        <v>97</v>
      </c>
      <c r="C107" t="s">
        <v>117</v>
      </c>
      <c r="D107" s="1">
        <v>2038932</v>
      </c>
      <c r="E107" s="1">
        <f t="shared" si="5"/>
        <v>2225559.5359365153</v>
      </c>
      <c r="F107" s="1">
        <f t="shared" si="6"/>
        <v>2543496.6124988743</v>
      </c>
      <c r="G107" s="1">
        <f t="shared" si="6"/>
        <v>2797846.2737487615</v>
      </c>
      <c r="H107" s="1">
        <f t="shared" si="6"/>
        <v>3052195.9349986492</v>
      </c>
      <c r="I107" s="1">
        <f t="shared" si="6"/>
        <v>3306545.5962485368</v>
      </c>
      <c r="J107" s="1">
        <f t="shared" si="7"/>
        <v>3560895.2574984236</v>
      </c>
      <c r="K107" s="1">
        <f t="shared" si="7"/>
        <v>3815244.9187483112</v>
      </c>
    </row>
    <row r="108" spans="1:11" x14ac:dyDescent="0.25">
      <c r="A108" t="s">
        <v>82</v>
      </c>
      <c r="B108" t="s">
        <v>97</v>
      </c>
      <c r="C108" t="s">
        <v>118</v>
      </c>
      <c r="D108" s="1">
        <v>1700001</v>
      </c>
      <c r="E108" s="1">
        <f t="shared" si="5"/>
        <v>1855605.5016310557</v>
      </c>
      <c r="F108" s="1">
        <f t="shared" si="6"/>
        <v>2120692.0018640636</v>
      </c>
      <c r="G108" s="1">
        <f t="shared" si="6"/>
        <v>2332761.2020504698</v>
      </c>
      <c r="H108" s="1">
        <f t="shared" si="6"/>
        <v>2544830.4022368761</v>
      </c>
      <c r="I108" s="1">
        <f t="shared" si="6"/>
        <v>2756899.6024232828</v>
      </c>
      <c r="J108" s="1">
        <f t="shared" si="7"/>
        <v>2968968.8026096886</v>
      </c>
      <c r="K108" s="1">
        <f t="shared" si="7"/>
        <v>3181038.0027960953</v>
      </c>
    </row>
    <row r="109" spans="1:11" x14ac:dyDescent="0.25">
      <c r="A109" t="s">
        <v>82</v>
      </c>
      <c r="B109" t="s">
        <v>97</v>
      </c>
      <c r="C109" t="s">
        <v>119</v>
      </c>
      <c r="D109" s="1">
        <v>1845468</v>
      </c>
      <c r="E109" s="1">
        <f t="shared" si="5"/>
        <v>2014387.3879392196</v>
      </c>
      <c r="F109" s="1">
        <f t="shared" si="6"/>
        <v>2302157.0147876795</v>
      </c>
      <c r="G109" s="1">
        <f t="shared" si="6"/>
        <v>2532372.7162664472</v>
      </c>
      <c r="H109" s="1">
        <f t="shared" si="6"/>
        <v>2762588.4177452149</v>
      </c>
      <c r="I109" s="1">
        <f t="shared" si="6"/>
        <v>2992804.119223983</v>
      </c>
      <c r="J109" s="1">
        <f t="shared" si="7"/>
        <v>3223019.8207027507</v>
      </c>
      <c r="K109" s="1">
        <f t="shared" si="7"/>
        <v>3453235.5221815188</v>
      </c>
    </row>
    <row r="110" spans="1:11" x14ac:dyDescent="0.25">
      <c r="A110" t="s">
        <v>82</v>
      </c>
      <c r="B110" t="s">
        <v>97</v>
      </c>
      <c r="C110" t="s">
        <v>120</v>
      </c>
      <c r="D110" s="1">
        <v>5498374</v>
      </c>
      <c r="E110" s="1">
        <f t="shared" si="5"/>
        <v>6001651.2016317369</v>
      </c>
      <c r="F110" s="1">
        <f t="shared" si="6"/>
        <v>6859029.9447219847</v>
      </c>
      <c r="G110" s="1">
        <f t="shared" si="6"/>
        <v>7544932.9391941819</v>
      </c>
      <c r="H110" s="1">
        <f t="shared" si="6"/>
        <v>8230835.9336663811</v>
      </c>
      <c r="I110" s="1">
        <f t="shared" si="6"/>
        <v>8916738.9281385802</v>
      </c>
      <c r="J110" s="1">
        <f t="shared" si="7"/>
        <v>9602641.9226107784</v>
      </c>
      <c r="K110" s="1">
        <f t="shared" si="7"/>
        <v>10288544.917082977</v>
      </c>
    </row>
    <row r="111" spans="1:11" x14ac:dyDescent="0.25">
      <c r="A111" t="s">
        <v>82</v>
      </c>
      <c r="B111" t="s">
        <v>137</v>
      </c>
      <c r="C111" t="s">
        <v>121</v>
      </c>
      <c r="D111" s="1">
        <v>8142427</v>
      </c>
      <c r="E111" s="1">
        <f t="shared" si="5"/>
        <v>8887719.6765350439</v>
      </c>
      <c r="F111" s="1">
        <f t="shared" si="6"/>
        <v>10157393.91604005</v>
      </c>
      <c r="G111" s="1">
        <f t="shared" si="6"/>
        <v>11173133.307644054</v>
      </c>
      <c r="H111" s="1">
        <f t="shared" si="6"/>
        <v>12188872.699248061</v>
      </c>
      <c r="I111" s="1">
        <f t="shared" si="6"/>
        <v>13204612.090852065</v>
      </c>
      <c r="J111" s="1">
        <f t="shared" si="7"/>
        <v>14220351.482456069</v>
      </c>
      <c r="K111" s="1">
        <f t="shared" si="7"/>
        <v>15236090.874060074</v>
      </c>
    </row>
    <row r="112" spans="1:11" x14ac:dyDescent="0.25">
      <c r="A112" t="s">
        <v>82</v>
      </c>
      <c r="B112" t="s">
        <v>97</v>
      </c>
      <c r="C112" t="s">
        <v>122</v>
      </c>
      <c r="D112" s="1">
        <v>1700000</v>
      </c>
      <c r="E112" s="1">
        <f t="shared" si="5"/>
        <v>1855604.4100990498</v>
      </c>
      <c r="F112" s="1">
        <f t="shared" si="6"/>
        <v>2120690.7543989141</v>
      </c>
      <c r="G112" s="1">
        <f t="shared" si="6"/>
        <v>2332759.8298388049</v>
      </c>
      <c r="H112" s="1">
        <f t="shared" si="6"/>
        <v>2544828.9052786967</v>
      </c>
      <c r="I112" s="1">
        <f t="shared" si="6"/>
        <v>2756897.980718588</v>
      </c>
      <c r="J112" s="1">
        <f t="shared" si="7"/>
        <v>2968967.0561584793</v>
      </c>
      <c r="K112" s="1">
        <f t="shared" si="7"/>
        <v>3181036.1315983706</v>
      </c>
    </row>
    <row r="113" spans="1:11" x14ac:dyDescent="0.25">
      <c r="A113" t="s">
        <v>3</v>
      </c>
      <c r="B113" t="s">
        <v>53</v>
      </c>
      <c r="C113" t="s">
        <v>123</v>
      </c>
      <c r="D113" s="1">
        <v>4319988</v>
      </c>
      <c r="E113" s="1">
        <f t="shared" si="5"/>
        <v>4715405.1672793962</v>
      </c>
      <c r="F113" s="1">
        <f t="shared" si="6"/>
        <v>5389034.4768907381</v>
      </c>
      <c r="G113" s="1">
        <f t="shared" si="6"/>
        <v>5927937.9245798113</v>
      </c>
      <c r="H113" s="1">
        <f t="shared" si="6"/>
        <v>6466841.3722688854</v>
      </c>
      <c r="I113" s="1">
        <f t="shared" si="6"/>
        <v>7005744.8199579604</v>
      </c>
      <c r="J113" s="1">
        <f t="shared" si="7"/>
        <v>7544648.2676470336</v>
      </c>
      <c r="K113" s="1">
        <f t="shared" si="7"/>
        <v>8083551.7153361076</v>
      </c>
    </row>
    <row r="114" spans="1:11" x14ac:dyDescent="0.25">
      <c r="A114" t="s">
        <v>82</v>
      </c>
      <c r="B114" t="s">
        <v>97</v>
      </c>
      <c r="C114" t="s">
        <v>124</v>
      </c>
      <c r="D114" s="1">
        <v>2534642</v>
      </c>
      <c r="E114" s="1">
        <f t="shared" si="5"/>
        <v>2766642.8666013386</v>
      </c>
      <c r="F114" s="1">
        <f t="shared" si="6"/>
        <v>3161877.5618301011</v>
      </c>
      <c r="G114" s="1">
        <f t="shared" si="6"/>
        <v>3478065.3180131111</v>
      </c>
      <c r="H114" s="1">
        <f t="shared" si="6"/>
        <v>3794253.0741961212</v>
      </c>
      <c r="I114" s="1">
        <f t="shared" si="6"/>
        <v>4110440.8303791317</v>
      </c>
      <c r="J114" s="1">
        <f t="shared" si="7"/>
        <v>4426628.5865621408</v>
      </c>
      <c r="K114" s="1">
        <f t="shared" si="7"/>
        <v>4742816.3427451514</v>
      </c>
    </row>
    <row r="115" spans="1:11" x14ac:dyDescent="0.25">
      <c r="A115" t="s">
        <v>82</v>
      </c>
      <c r="B115" t="s">
        <v>97</v>
      </c>
      <c r="C115" t="s">
        <v>125</v>
      </c>
      <c r="D115" s="1">
        <v>1700001</v>
      </c>
      <c r="E115" s="1">
        <f t="shared" si="5"/>
        <v>1855605.5016310557</v>
      </c>
      <c r="F115" s="1">
        <f t="shared" si="6"/>
        <v>2120692.0018640636</v>
      </c>
      <c r="G115" s="1">
        <f t="shared" si="6"/>
        <v>2332761.2020504698</v>
      </c>
      <c r="H115" s="1">
        <f t="shared" si="6"/>
        <v>2544830.4022368761</v>
      </c>
      <c r="I115" s="1">
        <f t="shared" si="6"/>
        <v>2756899.6024232828</v>
      </c>
      <c r="J115" s="1">
        <f t="shared" si="7"/>
        <v>2968968.8026096886</v>
      </c>
      <c r="K115" s="1">
        <f t="shared" si="7"/>
        <v>3181038.0027960953</v>
      </c>
    </row>
    <row r="116" spans="1:11" x14ac:dyDescent="0.25">
      <c r="A116" t="s">
        <v>82</v>
      </c>
      <c r="B116" t="s">
        <v>126</v>
      </c>
      <c r="C116" t="s">
        <v>127</v>
      </c>
      <c r="D116" s="1">
        <v>9136220</v>
      </c>
      <c r="E116" s="1">
        <f t="shared" si="5"/>
        <v>9972476.5433147885</v>
      </c>
      <c r="F116" s="1">
        <f t="shared" si="6"/>
        <v>11397116.049502615</v>
      </c>
      <c r="G116" s="1">
        <f t="shared" si="6"/>
        <v>12536827.654452875</v>
      </c>
      <c r="H116" s="1">
        <f t="shared" si="6"/>
        <v>13676539.259403137</v>
      </c>
      <c r="I116" s="1">
        <f t="shared" si="6"/>
        <v>14816250.8643534</v>
      </c>
      <c r="J116" s="1">
        <f t="shared" si="7"/>
        <v>15955962.46930366</v>
      </c>
      <c r="K116" s="1">
        <f t="shared" si="7"/>
        <v>17095674.07425392</v>
      </c>
    </row>
    <row r="117" spans="1:11" x14ac:dyDescent="0.25">
      <c r="A117" t="s">
        <v>82</v>
      </c>
      <c r="B117" t="s">
        <v>126</v>
      </c>
      <c r="C117" t="s">
        <v>128</v>
      </c>
      <c r="D117" s="1">
        <v>2765266</v>
      </c>
      <c r="E117" s="1">
        <f t="shared" si="5"/>
        <v>3018376.3439393877</v>
      </c>
      <c r="F117" s="1">
        <f t="shared" si="6"/>
        <v>3449572.9645021572</v>
      </c>
      <c r="G117" s="1">
        <f t="shared" si="6"/>
        <v>3794530.2609523726</v>
      </c>
      <c r="H117" s="1">
        <f t="shared" si="6"/>
        <v>4139487.5574025884</v>
      </c>
      <c r="I117" s="1">
        <f t="shared" si="6"/>
        <v>4484444.8538528038</v>
      </c>
      <c r="J117" s="1">
        <f t="shared" si="7"/>
        <v>4829402.1503030192</v>
      </c>
      <c r="K117" s="1">
        <f t="shared" si="7"/>
        <v>5174359.4467532355</v>
      </c>
    </row>
    <row r="118" spans="1:11" x14ac:dyDescent="0.25">
      <c r="A118" t="s">
        <v>82</v>
      </c>
      <c r="B118" t="s">
        <v>126</v>
      </c>
      <c r="C118" t="s">
        <v>129</v>
      </c>
      <c r="D118" s="1">
        <v>2417182</v>
      </c>
      <c r="E118" s="1">
        <f t="shared" si="5"/>
        <v>2638431.5171835539</v>
      </c>
      <c r="F118" s="1">
        <f t="shared" si="6"/>
        <v>3015350.3053526329</v>
      </c>
      <c r="G118" s="1">
        <f t="shared" si="6"/>
        <v>3316885.3358878954</v>
      </c>
      <c r="H118" s="1">
        <f t="shared" si="6"/>
        <v>3618420.3664231589</v>
      </c>
      <c r="I118" s="1">
        <f t="shared" si="6"/>
        <v>3919955.3969584224</v>
      </c>
      <c r="J118" s="1">
        <f t="shared" si="7"/>
        <v>4221490.4274936849</v>
      </c>
      <c r="K118" s="1">
        <f t="shared" si="7"/>
        <v>4523025.4580289489</v>
      </c>
    </row>
    <row r="119" spans="1:11" x14ac:dyDescent="0.25">
      <c r="A119" t="s">
        <v>82</v>
      </c>
      <c r="B119" t="s">
        <v>126</v>
      </c>
      <c r="C119" t="s">
        <v>130</v>
      </c>
      <c r="D119" s="1">
        <v>5315338</v>
      </c>
      <c r="E119" s="1">
        <f t="shared" si="5"/>
        <v>5801861.5493923901</v>
      </c>
      <c r="F119" s="1">
        <f t="shared" si="6"/>
        <v>6630698.9135913029</v>
      </c>
      <c r="G119" s="1">
        <f t="shared" si="6"/>
        <v>7293768.8049504319</v>
      </c>
      <c r="H119" s="1">
        <f t="shared" si="6"/>
        <v>7956838.6963095628</v>
      </c>
      <c r="I119" s="1">
        <f t="shared" si="6"/>
        <v>8619908.5876686927</v>
      </c>
      <c r="J119" s="1">
        <f t="shared" si="7"/>
        <v>9282978.4790278226</v>
      </c>
      <c r="K119" s="1">
        <f t="shared" si="7"/>
        <v>9946048.3703869525</v>
      </c>
    </row>
    <row r="120" spans="1:11" x14ac:dyDescent="0.25">
      <c r="A120" t="s">
        <v>82</v>
      </c>
      <c r="B120" t="s">
        <v>126</v>
      </c>
      <c r="C120" t="s">
        <v>131</v>
      </c>
      <c r="D120" s="1">
        <v>8022356</v>
      </c>
      <c r="E120" s="1">
        <f t="shared" si="5"/>
        <v>8756658.3370497487</v>
      </c>
      <c r="F120" s="1">
        <f t="shared" si="6"/>
        <v>10007609.528056854</v>
      </c>
      <c r="G120" s="1">
        <f t="shared" si="6"/>
        <v>11008370.480862539</v>
      </c>
      <c r="H120" s="1">
        <f t="shared" si="6"/>
        <v>12009131.433668226</v>
      </c>
      <c r="I120" s="1">
        <f t="shared" si="6"/>
        <v>13009892.386473911</v>
      </c>
      <c r="J120" s="1">
        <f t="shared" si="7"/>
        <v>14010653.339279596</v>
      </c>
      <c r="K120" s="1">
        <f t="shared" si="7"/>
        <v>15011414.292085283</v>
      </c>
    </row>
    <row r="121" spans="1:11" x14ac:dyDescent="0.25">
      <c r="A121" t="s">
        <v>82</v>
      </c>
      <c r="B121" t="s">
        <v>126</v>
      </c>
      <c r="C121" t="s">
        <v>132</v>
      </c>
      <c r="D121" s="1">
        <v>4029128</v>
      </c>
      <c r="E121" s="1">
        <f t="shared" si="5"/>
        <v>4397922.1680315081</v>
      </c>
      <c r="F121" s="1">
        <f t="shared" si="6"/>
        <v>5026196.7634645812</v>
      </c>
      <c r="G121" s="1">
        <f t="shared" si="6"/>
        <v>5528816.4398110379</v>
      </c>
      <c r="H121" s="1">
        <f t="shared" si="6"/>
        <v>6031436.1161574963</v>
      </c>
      <c r="I121" s="1">
        <f t="shared" si="6"/>
        <v>6534055.7925039548</v>
      </c>
      <c r="J121" s="1">
        <f t="shared" si="7"/>
        <v>7036675.4688504124</v>
      </c>
      <c r="K121" s="1">
        <f t="shared" si="7"/>
        <v>7539295.1451968709</v>
      </c>
    </row>
    <row r="122" spans="1:11" x14ac:dyDescent="0.25">
      <c r="A122" t="s">
        <v>82</v>
      </c>
      <c r="B122" t="s">
        <v>126</v>
      </c>
      <c r="C122" t="s">
        <v>133</v>
      </c>
      <c r="D122" s="1">
        <v>10170241</v>
      </c>
      <c r="E122" s="1">
        <f t="shared" si="5"/>
        <v>11101143.559629511</v>
      </c>
      <c r="F122" s="1">
        <f t="shared" si="6"/>
        <v>12687021.211005155</v>
      </c>
      <c r="G122" s="1">
        <f t="shared" si="6"/>
        <v>13955723.33210567</v>
      </c>
      <c r="H122" s="1">
        <f t="shared" si="6"/>
        <v>15224425.453206185</v>
      </c>
      <c r="I122" s="1">
        <f t="shared" si="6"/>
        <v>16493127.574306702</v>
      </c>
      <c r="J122" s="1">
        <f t="shared" si="7"/>
        <v>17761829.695407216</v>
      </c>
      <c r="K122" s="1">
        <f t="shared" si="7"/>
        <v>19030531.816507734</v>
      </c>
    </row>
    <row r="123" spans="1:11" x14ac:dyDescent="0.25">
      <c r="A123" t="s">
        <v>82</v>
      </c>
      <c r="B123" t="s">
        <v>126</v>
      </c>
      <c r="C123" t="s">
        <v>134</v>
      </c>
      <c r="D123" s="1">
        <v>2307475</v>
      </c>
      <c r="E123" s="1">
        <f t="shared" si="5"/>
        <v>2518682.8154078266</v>
      </c>
      <c r="F123" s="1">
        <f t="shared" si="6"/>
        <v>2878494.6461803727</v>
      </c>
      <c r="G123" s="1">
        <f t="shared" si="6"/>
        <v>3166344.1107984097</v>
      </c>
      <c r="H123" s="1">
        <f t="shared" si="6"/>
        <v>3454193.5754164471</v>
      </c>
      <c r="I123" s="1">
        <f t="shared" si="6"/>
        <v>3742043.0400344846</v>
      </c>
      <c r="J123" s="1">
        <f t="shared" si="7"/>
        <v>4029892.5046525216</v>
      </c>
      <c r="K123" s="1">
        <f t="shared" si="7"/>
        <v>4317741.969270559</v>
      </c>
    </row>
    <row r="124" spans="1:11" x14ac:dyDescent="0.25">
      <c r="A124" t="s">
        <v>82</v>
      </c>
      <c r="B124" t="s">
        <v>126</v>
      </c>
      <c r="C124" t="s">
        <v>135</v>
      </c>
      <c r="D124" s="1">
        <v>3807066</v>
      </c>
      <c r="E124" s="1">
        <f t="shared" si="5"/>
        <v>4155534.3877283228</v>
      </c>
      <c r="F124" s="1">
        <f t="shared" si="6"/>
        <v>4749182.1574037978</v>
      </c>
      <c r="G124" s="1">
        <f t="shared" si="6"/>
        <v>5224100.3731441768</v>
      </c>
      <c r="H124" s="1">
        <f t="shared" si="6"/>
        <v>5699018.5888845567</v>
      </c>
      <c r="I124" s="1">
        <f t="shared" si="6"/>
        <v>6173936.8046249365</v>
      </c>
      <c r="J124" s="1">
        <f t="shared" si="7"/>
        <v>6648855.0203653155</v>
      </c>
      <c r="K124" s="1">
        <f t="shared" si="7"/>
        <v>7123773.2361056954</v>
      </c>
    </row>
    <row r="125" spans="1:11" x14ac:dyDescent="0.25">
      <c r="A125" t="s">
        <v>82</v>
      </c>
      <c r="B125" t="s">
        <v>126</v>
      </c>
      <c r="C125" t="s">
        <v>136</v>
      </c>
      <c r="D125" s="1">
        <v>7708850</v>
      </c>
      <c r="E125" s="1">
        <f t="shared" si="5"/>
        <v>8414456.5039953291</v>
      </c>
      <c r="F125" s="1">
        <f t="shared" si="6"/>
        <v>9616521.7188518047</v>
      </c>
      <c r="G125" s="1">
        <f t="shared" si="6"/>
        <v>10578173.890736984</v>
      </c>
      <c r="H125" s="1">
        <f t="shared" si="6"/>
        <v>11539826.062622165</v>
      </c>
      <c r="I125" s="1">
        <f t="shared" si="6"/>
        <v>12501478.234507347</v>
      </c>
      <c r="J125" s="1">
        <f t="shared" si="7"/>
        <v>13463130.406392526</v>
      </c>
      <c r="K125" s="1">
        <f t="shared" si="7"/>
        <v>14424782.578277705</v>
      </c>
    </row>
    <row r="126" spans="1:11" x14ac:dyDescent="0.25">
      <c r="A126" t="s">
        <v>82</v>
      </c>
      <c r="B126" t="s">
        <v>137</v>
      </c>
      <c r="C126" t="s">
        <v>138</v>
      </c>
      <c r="D126" s="1">
        <v>11254629</v>
      </c>
      <c r="E126" s="1">
        <f t="shared" si="5"/>
        <v>12284787.768487446</v>
      </c>
      <c r="F126" s="1">
        <f t="shared" si="6"/>
        <v>14039757.449699938</v>
      </c>
      <c r="G126" s="1">
        <f t="shared" si="6"/>
        <v>15443733.19466993</v>
      </c>
      <c r="H126" s="1">
        <f t="shared" si="6"/>
        <v>16847708.939639926</v>
      </c>
      <c r="I126" s="1">
        <f t="shared" si="6"/>
        <v>18251684.68460992</v>
      </c>
      <c r="J126" s="1">
        <f t="shared" si="7"/>
        <v>19655660.42957991</v>
      </c>
      <c r="K126" s="1">
        <f t="shared" si="7"/>
        <v>21059636.174549907</v>
      </c>
    </row>
    <row r="127" spans="1:11" x14ac:dyDescent="0.25">
      <c r="A127" t="s">
        <v>82</v>
      </c>
      <c r="B127" t="s">
        <v>137</v>
      </c>
      <c r="C127" t="s">
        <v>139</v>
      </c>
      <c r="D127" s="1">
        <v>10702582</v>
      </c>
      <c r="E127" s="1">
        <f t="shared" si="5"/>
        <v>11682210.799203945</v>
      </c>
      <c r="F127" s="1">
        <f t="shared" si="6"/>
        <v>13351098.05623308</v>
      </c>
      <c r="G127" s="1">
        <f t="shared" si="6"/>
        <v>14686207.861856388</v>
      </c>
      <c r="H127" s="1">
        <f t="shared" si="6"/>
        <v>16021317.667479696</v>
      </c>
      <c r="I127" s="1">
        <f t="shared" si="6"/>
        <v>17356427.473103005</v>
      </c>
      <c r="J127" s="1">
        <f t="shared" si="7"/>
        <v>18691537.27872631</v>
      </c>
      <c r="K127" s="1">
        <f t="shared" si="7"/>
        <v>20026647.084349621</v>
      </c>
    </row>
    <row r="128" spans="1:11" x14ac:dyDescent="0.25">
      <c r="A128" t="s">
        <v>82</v>
      </c>
      <c r="B128" t="s">
        <v>137</v>
      </c>
      <c r="C128" t="s">
        <v>140</v>
      </c>
      <c r="D128" s="1">
        <v>2983291</v>
      </c>
      <c r="E128" s="1">
        <f t="shared" si="5"/>
        <v>3256357.6095345905</v>
      </c>
      <c r="F128" s="1">
        <f t="shared" si="6"/>
        <v>3721551.5537538179</v>
      </c>
      <c r="G128" s="1">
        <f t="shared" si="6"/>
        <v>4093706.7091291994</v>
      </c>
      <c r="H128" s="1">
        <f t="shared" si="6"/>
        <v>4465861.8645045813</v>
      </c>
      <c r="I128" s="1">
        <f t="shared" si="6"/>
        <v>4838017.0198799632</v>
      </c>
      <c r="J128" s="1">
        <f t="shared" si="7"/>
        <v>5210172.1752553442</v>
      </c>
      <c r="K128" s="1">
        <f t="shared" si="7"/>
        <v>5582327.3306307262</v>
      </c>
    </row>
    <row r="129" spans="1:11" x14ac:dyDescent="0.25">
      <c r="A129" t="s">
        <v>151</v>
      </c>
      <c r="B129" t="s">
        <v>182</v>
      </c>
      <c r="C129" t="s">
        <v>141</v>
      </c>
      <c r="D129" s="1">
        <v>2997169</v>
      </c>
      <c r="E129" s="1">
        <f t="shared" si="5"/>
        <v>3271505.8907130347</v>
      </c>
      <c r="F129" s="1">
        <f t="shared" si="6"/>
        <v>3738863.8751006108</v>
      </c>
      <c r="G129" s="1">
        <f t="shared" si="6"/>
        <v>4112750.2626106716</v>
      </c>
      <c r="H129" s="1">
        <f t="shared" si="6"/>
        <v>4486636.6501207324</v>
      </c>
      <c r="I129" s="1">
        <f t="shared" si="6"/>
        <v>4860523.0376307936</v>
      </c>
      <c r="J129" s="1">
        <f t="shared" si="7"/>
        <v>5234409.4251408549</v>
      </c>
      <c r="K129" s="1">
        <f t="shared" si="7"/>
        <v>5608295.8126509162</v>
      </c>
    </row>
    <row r="130" spans="1:11" x14ac:dyDescent="0.25">
      <c r="A130" t="s">
        <v>82</v>
      </c>
      <c r="B130" t="s">
        <v>137</v>
      </c>
      <c r="C130" t="s">
        <v>142</v>
      </c>
      <c r="D130" s="1">
        <v>8544123</v>
      </c>
      <c r="E130" s="1">
        <f t="shared" si="5"/>
        <v>9326183.717193367</v>
      </c>
      <c r="F130" s="1">
        <f t="shared" si="6"/>
        <v>10658495.676792419</v>
      </c>
      <c r="G130" s="1">
        <f t="shared" si="6"/>
        <v>11724345.24447166</v>
      </c>
      <c r="H130" s="1">
        <f t="shared" si="6"/>
        <v>12790194.812150901</v>
      </c>
      <c r="I130" s="1">
        <f t="shared" si="6"/>
        <v>13856044.379830144</v>
      </c>
      <c r="J130" s="1">
        <f t="shared" si="7"/>
        <v>14921893.947509384</v>
      </c>
      <c r="K130" s="1">
        <f t="shared" si="7"/>
        <v>15987743.515188627</v>
      </c>
    </row>
    <row r="131" spans="1:11" x14ac:dyDescent="0.25">
      <c r="A131" t="s">
        <v>82</v>
      </c>
      <c r="B131" t="s">
        <v>137</v>
      </c>
      <c r="C131" t="s">
        <v>143</v>
      </c>
      <c r="D131" s="1">
        <v>4025192</v>
      </c>
      <c r="E131" s="1">
        <f t="shared" si="5"/>
        <v>4393625.8980561262</v>
      </c>
      <c r="F131" s="1">
        <f t="shared" si="6"/>
        <v>5021286.7406355729</v>
      </c>
      <c r="G131" s="1">
        <f t="shared" si="6"/>
        <v>5523415.4146991288</v>
      </c>
      <c r="H131" s="1">
        <f t="shared" si="6"/>
        <v>6025544.0887626866</v>
      </c>
      <c r="I131" s="1">
        <f t="shared" ref="I131" si="8">I$1/SUM($D$3:$D$696)*$D131</f>
        <v>6527672.7628262443</v>
      </c>
      <c r="J131" s="1">
        <f t="shared" si="7"/>
        <v>7029801.4368898012</v>
      </c>
      <c r="K131" s="1">
        <f t="shared" si="7"/>
        <v>7531930.110953358</v>
      </c>
    </row>
    <row r="132" spans="1:11" x14ac:dyDescent="0.25">
      <c r="A132" t="s">
        <v>82</v>
      </c>
      <c r="B132" t="s">
        <v>137</v>
      </c>
      <c r="C132" t="s">
        <v>144</v>
      </c>
      <c r="D132" s="1">
        <v>6082522</v>
      </c>
      <c r="E132" s="1">
        <f t="shared" ref="E132:E195" si="9">$E$1/SUM($D$3:$D$696)*D132</f>
        <v>6639267.4398379363</v>
      </c>
      <c r="F132" s="1">
        <f t="shared" ref="F132:I195" si="10">F$1/SUM($D$3:$D$696)*$D132</f>
        <v>7587734.2169576418</v>
      </c>
      <c r="G132" s="1">
        <f t="shared" si="10"/>
        <v>8346507.638653405</v>
      </c>
      <c r="H132" s="1">
        <f t="shared" si="10"/>
        <v>9105281.0603491701</v>
      </c>
      <c r="I132" s="1">
        <f t="shared" si="10"/>
        <v>9864054.4820449334</v>
      </c>
      <c r="J132" s="1">
        <f t="shared" ref="J132:K195" si="11">J$1/SUM($D$3:$D$696)*$D132</f>
        <v>10622827.903740697</v>
      </c>
      <c r="K132" s="1">
        <f t="shared" si="11"/>
        <v>11381601.325436462</v>
      </c>
    </row>
    <row r="133" spans="1:11" x14ac:dyDescent="0.25">
      <c r="A133" t="s">
        <v>151</v>
      </c>
      <c r="B133" t="s">
        <v>182</v>
      </c>
      <c r="C133" t="s">
        <v>145</v>
      </c>
      <c r="D133" s="1">
        <v>6761795</v>
      </c>
      <c r="E133" s="1">
        <f t="shared" si="9"/>
        <v>7380715.6601092378</v>
      </c>
      <c r="F133" s="1">
        <f t="shared" si="10"/>
        <v>8435103.6115534138</v>
      </c>
      <c r="G133" s="1">
        <f t="shared" si="10"/>
        <v>9278613.9727087542</v>
      </c>
      <c r="H133" s="1">
        <f t="shared" si="10"/>
        <v>10122124.333864097</v>
      </c>
      <c r="I133" s="1">
        <f t="shared" si="10"/>
        <v>10965634.695019439</v>
      </c>
      <c r="J133" s="1">
        <f t="shared" si="11"/>
        <v>11809145.056174779</v>
      </c>
      <c r="K133" s="1">
        <f t="shared" si="11"/>
        <v>12652655.417330122</v>
      </c>
    </row>
    <row r="134" spans="1:11" x14ac:dyDescent="0.25">
      <c r="A134" t="s">
        <v>82</v>
      </c>
      <c r="B134" t="s">
        <v>137</v>
      </c>
      <c r="C134" t="s">
        <v>146</v>
      </c>
      <c r="D134" s="1">
        <v>11176122</v>
      </c>
      <c r="E134" s="1">
        <f t="shared" si="9"/>
        <v>12199094.865297066</v>
      </c>
      <c r="F134" s="1">
        <f t="shared" si="10"/>
        <v>13941822.703196647</v>
      </c>
      <c r="G134" s="1">
        <f t="shared" si="10"/>
        <v>15336004.97351631</v>
      </c>
      <c r="H134" s="1">
        <f t="shared" si="10"/>
        <v>16730187.243835974</v>
      </c>
      <c r="I134" s="1">
        <f t="shared" si="10"/>
        <v>18124369.514155641</v>
      </c>
      <c r="J134" s="1">
        <f t="shared" si="11"/>
        <v>19518551.784475304</v>
      </c>
      <c r="K134" s="1">
        <f t="shared" si="11"/>
        <v>20912734.054794967</v>
      </c>
    </row>
    <row r="135" spans="1:11" x14ac:dyDescent="0.25">
      <c r="A135" t="s">
        <v>82</v>
      </c>
      <c r="B135" t="s">
        <v>137</v>
      </c>
      <c r="C135" t="s">
        <v>147</v>
      </c>
      <c r="D135" s="1">
        <v>3813386</v>
      </c>
      <c r="E135" s="1">
        <f t="shared" si="9"/>
        <v>4162432.8700058674</v>
      </c>
      <c r="F135" s="1">
        <f t="shared" si="10"/>
        <v>4757066.1371495631</v>
      </c>
      <c r="G135" s="1">
        <f t="shared" si="10"/>
        <v>5232772.7508645188</v>
      </c>
      <c r="H135" s="1">
        <f t="shared" si="10"/>
        <v>5708479.3645794755</v>
      </c>
      <c r="I135" s="1">
        <f t="shared" si="10"/>
        <v>6184185.9782944312</v>
      </c>
      <c r="J135" s="1">
        <f t="shared" si="11"/>
        <v>6659892.592009387</v>
      </c>
      <c r="K135" s="1">
        <f t="shared" si="11"/>
        <v>7135599.2057243437</v>
      </c>
    </row>
    <row r="136" spans="1:11" x14ac:dyDescent="0.25">
      <c r="A136" t="s">
        <v>82</v>
      </c>
      <c r="B136" t="s">
        <v>137</v>
      </c>
      <c r="C136" t="s">
        <v>148</v>
      </c>
      <c r="D136" s="1">
        <v>2664693</v>
      </c>
      <c r="E136" s="1">
        <f t="shared" si="9"/>
        <v>2908597.6955059217</v>
      </c>
      <c r="F136" s="1">
        <f t="shared" si="10"/>
        <v>3324111.6520067677</v>
      </c>
      <c r="G136" s="1">
        <f t="shared" si="10"/>
        <v>3656522.817207444</v>
      </c>
      <c r="H136" s="1">
        <f t="shared" si="10"/>
        <v>3988933.9824081212</v>
      </c>
      <c r="I136" s="1">
        <f t="shared" si="10"/>
        <v>4321345.147608798</v>
      </c>
      <c r="J136" s="1">
        <f t="shared" si="11"/>
        <v>4653756.3128094748</v>
      </c>
      <c r="K136" s="1">
        <f t="shared" si="11"/>
        <v>4986167.4780101515</v>
      </c>
    </row>
    <row r="137" spans="1:11" x14ac:dyDescent="0.25">
      <c r="A137" t="s">
        <v>82</v>
      </c>
      <c r="B137" t="s">
        <v>137</v>
      </c>
      <c r="C137" t="s">
        <v>149</v>
      </c>
      <c r="D137" s="1">
        <v>7067723</v>
      </c>
      <c r="E137" s="1">
        <f t="shared" si="9"/>
        <v>7714645.8636226393</v>
      </c>
      <c r="F137" s="1">
        <f t="shared" si="10"/>
        <v>8816738.1298544444</v>
      </c>
      <c r="G137" s="1">
        <f t="shared" si="10"/>
        <v>9698411.942839887</v>
      </c>
      <c r="H137" s="1">
        <f t="shared" si="10"/>
        <v>10580085.755825333</v>
      </c>
      <c r="I137" s="1">
        <f t="shared" si="10"/>
        <v>11461759.568810778</v>
      </c>
      <c r="J137" s="1">
        <f t="shared" si="11"/>
        <v>12343433.38179622</v>
      </c>
      <c r="K137" s="1">
        <f t="shared" si="11"/>
        <v>13225107.194781665</v>
      </c>
    </row>
    <row r="138" spans="1:11" x14ac:dyDescent="0.25">
      <c r="A138" t="s">
        <v>82</v>
      </c>
      <c r="B138" t="s">
        <v>137</v>
      </c>
      <c r="C138" t="s">
        <v>150</v>
      </c>
      <c r="D138" s="1">
        <v>4066242</v>
      </c>
      <c r="E138" s="1">
        <f t="shared" si="9"/>
        <v>4438433.2868999885</v>
      </c>
      <c r="F138" s="1">
        <f t="shared" si="10"/>
        <v>5072495.1850285577</v>
      </c>
      <c r="G138" s="1">
        <f t="shared" si="10"/>
        <v>5579744.7035314133</v>
      </c>
      <c r="H138" s="1">
        <f t="shared" si="10"/>
        <v>6086994.222034269</v>
      </c>
      <c r="I138" s="1">
        <f t="shared" si="10"/>
        <v>6594243.7405371256</v>
      </c>
      <c r="J138" s="1">
        <f t="shared" si="11"/>
        <v>7101493.2590399804</v>
      </c>
      <c r="K138" s="1">
        <f t="shared" si="11"/>
        <v>7608742.777542837</v>
      </c>
    </row>
    <row r="139" spans="1:11" x14ac:dyDescent="0.25">
      <c r="A139" t="s">
        <v>151</v>
      </c>
      <c r="B139" t="s">
        <v>152</v>
      </c>
      <c r="C139" t="s">
        <v>153</v>
      </c>
      <c r="D139" s="1">
        <v>1700000</v>
      </c>
      <c r="E139" s="1">
        <f t="shared" si="9"/>
        <v>1855604.4100990498</v>
      </c>
      <c r="F139" s="1">
        <f t="shared" si="10"/>
        <v>2120690.7543989141</v>
      </c>
      <c r="G139" s="1">
        <f t="shared" si="10"/>
        <v>2332759.8298388049</v>
      </c>
      <c r="H139" s="1">
        <f t="shared" si="10"/>
        <v>2544828.9052786967</v>
      </c>
      <c r="I139" s="1">
        <f t="shared" si="10"/>
        <v>2756897.980718588</v>
      </c>
      <c r="J139" s="1">
        <f t="shared" si="11"/>
        <v>2968967.0561584793</v>
      </c>
      <c r="K139" s="1">
        <f t="shared" si="11"/>
        <v>3181036.1315983706</v>
      </c>
    </row>
    <row r="140" spans="1:11" x14ac:dyDescent="0.25">
      <c r="A140" t="s">
        <v>151</v>
      </c>
      <c r="B140" t="s">
        <v>152</v>
      </c>
      <c r="C140" t="s">
        <v>154</v>
      </c>
      <c r="D140" s="1">
        <v>2886464</v>
      </c>
      <c r="E140" s="1">
        <f t="shared" si="9"/>
        <v>3150667.8399953786</v>
      </c>
      <c r="F140" s="1">
        <f t="shared" si="10"/>
        <v>3600763.2457090039</v>
      </c>
      <c r="G140" s="1">
        <f t="shared" si="10"/>
        <v>3960839.5702799037</v>
      </c>
      <c r="H140" s="1">
        <f t="shared" si="10"/>
        <v>4320915.8948508045</v>
      </c>
      <c r="I140" s="1">
        <f t="shared" si="10"/>
        <v>4680992.2194217052</v>
      </c>
      <c r="J140" s="1">
        <f t="shared" si="11"/>
        <v>5041068.5439926051</v>
      </c>
      <c r="K140" s="1">
        <f t="shared" si="11"/>
        <v>5401144.8685635058</v>
      </c>
    </row>
    <row r="141" spans="1:11" x14ac:dyDescent="0.25">
      <c r="A141" t="s">
        <v>151</v>
      </c>
      <c r="B141" t="s">
        <v>152</v>
      </c>
      <c r="C141" t="s">
        <v>155</v>
      </c>
      <c r="D141" s="1">
        <v>1700001</v>
      </c>
      <c r="E141" s="1">
        <f t="shared" si="9"/>
        <v>1855605.5016310557</v>
      </c>
      <c r="F141" s="1">
        <f t="shared" si="10"/>
        <v>2120692.0018640636</v>
      </c>
      <c r="G141" s="1">
        <f t="shared" si="10"/>
        <v>2332761.2020504698</v>
      </c>
      <c r="H141" s="1">
        <f t="shared" si="10"/>
        <v>2544830.4022368761</v>
      </c>
      <c r="I141" s="1">
        <f t="shared" si="10"/>
        <v>2756899.6024232828</v>
      </c>
      <c r="J141" s="1">
        <f t="shared" si="11"/>
        <v>2968968.8026096886</v>
      </c>
      <c r="K141" s="1">
        <f t="shared" si="11"/>
        <v>3181038.0027960953</v>
      </c>
    </row>
    <row r="142" spans="1:11" x14ac:dyDescent="0.25">
      <c r="A142" t="s">
        <v>151</v>
      </c>
      <c r="B142" t="s">
        <v>152</v>
      </c>
      <c r="C142" t="s">
        <v>156</v>
      </c>
      <c r="D142" s="1">
        <v>3566538</v>
      </c>
      <c r="E142" s="1">
        <f t="shared" si="9"/>
        <v>3892990.3774034381</v>
      </c>
      <c r="F142" s="1">
        <f t="shared" si="10"/>
        <v>4449131.8598896433</v>
      </c>
      <c r="G142" s="1">
        <f t="shared" si="10"/>
        <v>4894045.0458786068</v>
      </c>
      <c r="H142" s="1">
        <f t="shared" si="10"/>
        <v>5338958.2318675714</v>
      </c>
      <c r="I142" s="1">
        <f t="shared" si="10"/>
        <v>5783871.4178565359</v>
      </c>
      <c r="J142" s="1">
        <f t="shared" si="11"/>
        <v>6228784.6038455004</v>
      </c>
      <c r="K142" s="1">
        <f t="shared" si="11"/>
        <v>6673697.7898344649</v>
      </c>
    </row>
    <row r="143" spans="1:11" x14ac:dyDescent="0.25">
      <c r="A143" t="s">
        <v>151</v>
      </c>
      <c r="B143" t="s">
        <v>152</v>
      </c>
      <c r="C143" t="s">
        <v>157</v>
      </c>
      <c r="D143" s="1">
        <v>2496502</v>
      </c>
      <c r="E143" s="1">
        <f t="shared" si="9"/>
        <v>2725011.8358947635</v>
      </c>
      <c r="F143" s="1">
        <f t="shared" si="10"/>
        <v>3114299.2410225868</v>
      </c>
      <c r="G143" s="1">
        <f t="shared" si="10"/>
        <v>3425729.1651248452</v>
      </c>
      <c r="H143" s="1">
        <f t="shared" si="10"/>
        <v>3737159.0892271041</v>
      </c>
      <c r="I143" s="1">
        <f t="shared" si="10"/>
        <v>4048589.0133293625</v>
      </c>
      <c r="J143" s="1">
        <f t="shared" si="11"/>
        <v>4360018.9374316214</v>
      </c>
      <c r="K143" s="1">
        <f t="shared" si="11"/>
        <v>4671448.8615338802</v>
      </c>
    </row>
    <row r="144" spans="1:11" x14ac:dyDescent="0.25">
      <c r="A144" t="s">
        <v>151</v>
      </c>
      <c r="B144" t="s">
        <v>152</v>
      </c>
      <c r="C144" t="s">
        <v>158</v>
      </c>
      <c r="D144" s="1">
        <v>3537627</v>
      </c>
      <c r="E144" s="1">
        <f t="shared" si="9"/>
        <v>3861433.0955796889</v>
      </c>
      <c r="F144" s="1">
        <f t="shared" si="10"/>
        <v>4413066.3949482162</v>
      </c>
      <c r="G144" s="1">
        <f t="shared" si="10"/>
        <v>4854373.0344430367</v>
      </c>
      <c r="H144" s="1">
        <f t="shared" si="10"/>
        <v>5295679.673937859</v>
      </c>
      <c r="I144" s="1">
        <f t="shared" si="10"/>
        <v>5736986.3134326804</v>
      </c>
      <c r="J144" s="1">
        <f t="shared" si="11"/>
        <v>6178292.9529275009</v>
      </c>
      <c r="K144" s="1">
        <f t="shared" si="11"/>
        <v>6619599.5924223233</v>
      </c>
    </row>
    <row r="145" spans="1:11" x14ac:dyDescent="0.25">
      <c r="A145" t="s">
        <v>151</v>
      </c>
      <c r="B145" t="s">
        <v>152</v>
      </c>
      <c r="C145" t="s">
        <v>159</v>
      </c>
      <c r="D145" s="1">
        <v>4809288</v>
      </c>
      <c r="E145" s="1">
        <f t="shared" si="9"/>
        <v>5249491.7777861403</v>
      </c>
      <c r="F145" s="1">
        <f t="shared" si="10"/>
        <v>5999419.1746127317</v>
      </c>
      <c r="G145" s="1">
        <f t="shared" si="10"/>
        <v>6599361.092074004</v>
      </c>
      <c r="H145" s="1">
        <f t="shared" si="10"/>
        <v>7199303.0095352782</v>
      </c>
      <c r="I145" s="1">
        <f t="shared" si="10"/>
        <v>7799244.9269965515</v>
      </c>
      <c r="J145" s="1">
        <f t="shared" si="11"/>
        <v>8399186.8444578238</v>
      </c>
      <c r="K145" s="1">
        <f t="shared" si="11"/>
        <v>8999128.761919098</v>
      </c>
    </row>
    <row r="146" spans="1:11" x14ac:dyDescent="0.25">
      <c r="A146" t="s">
        <v>151</v>
      </c>
      <c r="B146" t="s">
        <v>152</v>
      </c>
      <c r="C146" t="s">
        <v>160</v>
      </c>
      <c r="D146" s="1">
        <v>1699999</v>
      </c>
      <c r="E146" s="1">
        <f t="shared" si="9"/>
        <v>1855603.3185670439</v>
      </c>
      <c r="F146" s="1">
        <f t="shared" si="10"/>
        <v>2120689.5069337641</v>
      </c>
      <c r="G146" s="1">
        <f t="shared" si="10"/>
        <v>2332758.4576271405</v>
      </c>
      <c r="H146" s="1">
        <f t="shared" si="10"/>
        <v>2544827.4083205168</v>
      </c>
      <c r="I146" s="1">
        <f t="shared" si="10"/>
        <v>2756896.3590138936</v>
      </c>
      <c r="J146" s="1">
        <f t="shared" si="11"/>
        <v>2968965.3097072695</v>
      </c>
      <c r="K146" s="1">
        <f t="shared" si="11"/>
        <v>3181034.2604006464</v>
      </c>
    </row>
    <row r="147" spans="1:11" x14ac:dyDescent="0.25">
      <c r="A147" t="s">
        <v>151</v>
      </c>
      <c r="B147" t="s">
        <v>198</v>
      </c>
      <c r="C147" t="s">
        <v>161</v>
      </c>
      <c r="D147" s="1">
        <v>1700000</v>
      </c>
      <c r="E147" s="1">
        <f t="shared" si="9"/>
        <v>1855604.4100990498</v>
      </c>
      <c r="F147" s="1">
        <f t="shared" si="10"/>
        <v>2120690.7543989141</v>
      </c>
      <c r="G147" s="1">
        <f t="shared" si="10"/>
        <v>2332759.8298388049</v>
      </c>
      <c r="H147" s="1">
        <f t="shared" si="10"/>
        <v>2544828.9052786967</v>
      </c>
      <c r="I147" s="1">
        <f t="shared" si="10"/>
        <v>2756897.980718588</v>
      </c>
      <c r="J147" s="1">
        <f t="shared" si="11"/>
        <v>2968967.0561584793</v>
      </c>
      <c r="K147" s="1">
        <f t="shared" si="11"/>
        <v>3181036.1315983706</v>
      </c>
    </row>
    <row r="148" spans="1:11" x14ac:dyDescent="0.25">
      <c r="A148" t="s">
        <v>151</v>
      </c>
      <c r="B148" t="s">
        <v>152</v>
      </c>
      <c r="C148" t="s">
        <v>162</v>
      </c>
      <c r="D148" s="1">
        <v>7319149</v>
      </c>
      <c r="E148" s="1">
        <f t="shared" si="9"/>
        <v>7989085.389748265</v>
      </c>
      <c r="F148" s="1">
        <f t="shared" si="10"/>
        <v>9130383.3025694452</v>
      </c>
      <c r="G148" s="1">
        <f t="shared" si="10"/>
        <v>10043421.632826388</v>
      </c>
      <c r="H148" s="1">
        <f t="shared" si="10"/>
        <v>10956459.963083334</v>
      </c>
      <c r="I148" s="1">
        <f t="shared" si="10"/>
        <v>11869498.293340279</v>
      </c>
      <c r="J148" s="1">
        <f t="shared" si="11"/>
        <v>12782536.623597221</v>
      </c>
      <c r="K148" s="1">
        <f t="shared" si="11"/>
        <v>13695574.953854166</v>
      </c>
    </row>
    <row r="149" spans="1:11" x14ac:dyDescent="0.25">
      <c r="A149" t="s">
        <v>151</v>
      </c>
      <c r="B149" t="s">
        <v>198</v>
      </c>
      <c r="C149" t="s">
        <v>163</v>
      </c>
      <c r="D149" s="1">
        <v>5197106</v>
      </c>
      <c r="E149" s="1">
        <f t="shared" si="9"/>
        <v>5672807.5372660188</v>
      </c>
      <c r="F149" s="1">
        <f t="shared" si="10"/>
        <v>6483208.6140183071</v>
      </c>
      <c r="G149" s="1">
        <f t="shared" si="10"/>
        <v>7131529.4754201369</v>
      </c>
      <c r="H149" s="1">
        <f t="shared" si="10"/>
        <v>7779850.3368219677</v>
      </c>
      <c r="I149" s="1">
        <f t="shared" si="10"/>
        <v>8428171.1982237995</v>
      </c>
      <c r="J149" s="1">
        <f t="shared" si="11"/>
        <v>9076492.0596256293</v>
      </c>
      <c r="K149" s="1">
        <f t="shared" si="11"/>
        <v>9724812.9210274592</v>
      </c>
    </row>
    <row r="150" spans="1:11" x14ac:dyDescent="0.25">
      <c r="A150" t="s">
        <v>151</v>
      </c>
      <c r="B150" t="s">
        <v>152</v>
      </c>
      <c r="C150" t="s">
        <v>164</v>
      </c>
      <c r="D150" s="1">
        <v>1851354</v>
      </c>
      <c r="E150" s="1">
        <f t="shared" si="9"/>
        <v>2020812.145326186</v>
      </c>
      <c r="F150" s="1">
        <f t="shared" si="10"/>
        <v>2309499.5946584982</v>
      </c>
      <c r="G150" s="1">
        <f t="shared" si="10"/>
        <v>2540449.5541243479</v>
      </c>
      <c r="H150" s="1">
        <f t="shared" si="10"/>
        <v>2771399.5135901975</v>
      </c>
      <c r="I150" s="1">
        <f t="shared" si="10"/>
        <v>3002349.4730560477</v>
      </c>
      <c r="J150" s="1">
        <f t="shared" si="11"/>
        <v>3233299.4325218974</v>
      </c>
      <c r="K150" s="1">
        <f t="shared" si="11"/>
        <v>3464249.391987747</v>
      </c>
    </row>
    <row r="151" spans="1:11" x14ac:dyDescent="0.25">
      <c r="A151" t="s">
        <v>151</v>
      </c>
      <c r="B151" t="s">
        <v>152</v>
      </c>
      <c r="C151" t="s">
        <v>165</v>
      </c>
      <c r="D151" s="1">
        <v>2844998</v>
      </c>
      <c r="E151" s="1">
        <f t="shared" si="9"/>
        <v>3105406.3738370449</v>
      </c>
      <c r="F151" s="1">
        <f t="shared" si="10"/>
        <v>3549035.8558137654</v>
      </c>
      <c r="G151" s="1">
        <f t="shared" si="10"/>
        <v>3903939.4413951416</v>
      </c>
      <c r="H151" s="1">
        <f t="shared" si="10"/>
        <v>4258843.0269765183</v>
      </c>
      <c r="I151" s="1">
        <f t="shared" si="10"/>
        <v>4613746.6125578955</v>
      </c>
      <c r="J151" s="1">
        <f t="shared" si="11"/>
        <v>4968650.1981392708</v>
      </c>
      <c r="K151" s="1">
        <f t="shared" si="11"/>
        <v>5323553.7837206479</v>
      </c>
    </row>
    <row r="152" spans="1:11" x14ac:dyDescent="0.25">
      <c r="A152" t="s">
        <v>151</v>
      </c>
      <c r="B152" t="s">
        <v>152</v>
      </c>
      <c r="C152" t="s">
        <v>166</v>
      </c>
      <c r="D152" s="1">
        <v>3349262</v>
      </c>
      <c r="E152" s="1">
        <f t="shared" si="9"/>
        <v>3655826.6692806846</v>
      </c>
      <c r="F152" s="1">
        <f t="shared" si="10"/>
        <v>4178087.622035068</v>
      </c>
      <c r="G152" s="1">
        <f t="shared" si="10"/>
        <v>4595896.3842385737</v>
      </c>
      <c r="H152" s="1">
        <f t="shared" si="10"/>
        <v>5013705.1464420808</v>
      </c>
      <c r="I152" s="1">
        <f t="shared" si="10"/>
        <v>5431513.908645588</v>
      </c>
      <c r="J152" s="1">
        <f t="shared" si="11"/>
        <v>5849322.6708490942</v>
      </c>
      <c r="K152" s="1">
        <f t="shared" si="11"/>
        <v>6267131.4330526013</v>
      </c>
    </row>
    <row r="153" spans="1:11" x14ac:dyDescent="0.25">
      <c r="A153" t="s">
        <v>229</v>
      </c>
      <c r="B153" t="s">
        <v>245</v>
      </c>
      <c r="C153" t="s">
        <v>167</v>
      </c>
      <c r="D153" s="1">
        <v>3471113</v>
      </c>
      <c r="E153" s="1">
        <f t="shared" si="9"/>
        <v>3788830.9357365547</v>
      </c>
      <c r="F153" s="1">
        <f t="shared" si="10"/>
        <v>4330092.4979846338</v>
      </c>
      <c r="G153" s="1">
        <f t="shared" si="10"/>
        <v>4763101.7477830965</v>
      </c>
      <c r="H153" s="1">
        <f t="shared" si="10"/>
        <v>5196110.9975815602</v>
      </c>
      <c r="I153" s="1">
        <f t="shared" si="10"/>
        <v>5629120.2473800238</v>
      </c>
      <c r="J153" s="1">
        <f t="shared" si="11"/>
        <v>6062129.4971784865</v>
      </c>
      <c r="K153" s="1">
        <f t="shared" si="11"/>
        <v>6495138.7469769502</v>
      </c>
    </row>
    <row r="154" spans="1:11" x14ac:dyDescent="0.25">
      <c r="A154" t="s">
        <v>82</v>
      </c>
      <c r="B154" t="s">
        <v>168</v>
      </c>
      <c r="C154" t="s">
        <v>169</v>
      </c>
      <c r="D154" s="1">
        <v>2565418</v>
      </c>
      <c r="E154" s="1">
        <f t="shared" si="9"/>
        <v>2800235.8556161672</v>
      </c>
      <c r="F154" s="1">
        <f t="shared" si="10"/>
        <v>3200269.5492756194</v>
      </c>
      <c r="G154" s="1">
        <f t="shared" si="10"/>
        <v>3520296.5042031808</v>
      </c>
      <c r="H154" s="1">
        <f t="shared" si="10"/>
        <v>3840323.4591307431</v>
      </c>
      <c r="I154" s="1">
        <f t="shared" si="10"/>
        <v>4160350.4140583053</v>
      </c>
      <c r="J154" s="1">
        <f t="shared" si="11"/>
        <v>4480377.3689858671</v>
      </c>
      <c r="K154" s="1">
        <f t="shared" si="11"/>
        <v>4800404.3239134289</v>
      </c>
    </row>
    <row r="155" spans="1:11" x14ac:dyDescent="0.25">
      <c r="A155" t="s">
        <v>3</v>
      </c>
      <c r="B155" t="s">
        <v>20</v>
      </c>
      <c r="C155" t="s">
        <v>170</v>
      </c>
      <c r="D155" s="1">
        <v>4351539</v>
      </c>
      <c r="E155" s="1">
        <f t="shared" si="9"/>
        <v>4749844.0935988287</v>
      </c>
      <c r="F155" s="1">
        <f t="shared" si="10"/>
        <v>5428393.2498272331</v>
      </c>
      <c r="G155" s="1">
        <f t="shared" si="10"/>
        <v>5971232.5748099554</v>
      </c>
      <c r="H155" s="1">
        <f t="shared" si="10"/>
        <v>6514071.8997926787</v>
      </c>
      <c r="I155" s="1">
        <f t="shared" si="10"/>
        <v>7056911.2247754028</v>
      </c>
      <c r="J155" s="1">
        <f t="shared" si="11"/>
        <v>7599750.5497581251</v>
      </c>
      <c r="K155" s="1">
        <f t="shared" si="11"/>
        <v>8142589.8747408483</v>
      </c>
    </row>
    <row r="156" spans="1:11" x14ac:dyDescent="0.25">
      <c r="A156" t="s">
        <v>3</v>
      </c>
      <c r="B156" t="s">
        <v>20</v>
      </c>
      <c r="C156" t="s">
        <v>171</v>
      </c>
      <c r="D156" s="1">
        <v>1700000</v>
      </c>
      <c r="E156" s="1">
        <f t="shared" si="9"/>
        <v>1855604.4100990498</v>
      </c>
      <c r="F156" s="1">
        <f t="shared" si="10"/>
        <v>2120690.7543989141</v>
      </c>
      <c r="G156" s="1">
        <f t="shared" si="10"/>
        <v>2332759.8298388049</v>
      </c>
      <c r="H156" s="1">
        <f t="shared" si="10"/>
        <v>2544828.9052786967</v>
      </c>
      <c r="I156" s="1">
        <f t="shared" si="10"/>
        <v>2756897.980718588</v>
      </c>
      <c r="J156" s="1">
        <f t="shared" si="11"/>
        <v>2968967.0561584793</v>
      </c>
      <c r="K156" s="1">
        <f t="shared" si="11"/>
        <v>3181036.1315983706</v>
      </c>
    </row>
    <row r="157" spans="1:11" x14ac:dyDescent="0.25">
      <c r="A157" t="s">
        <v>82</v>
      </c>
      <c r="B157" t="s">
        <v>168</v>
      </c>
      <c r="C157" t="s">
        <v>172</v>
      </c>
      <c r="D157" s="1">
        <v>1758152</v>
      </c>
      <c r="E157" s="1">
        <f t="shared" si="9"/>
        <v>1919079.1793085085</v>
      </c>
      <c r="F157" s="1">
        <f t="shared" si="10"/>
        <v>2193233.3477811525</v>
      </c>
      <c r="G157" s="1">
        <f t="shared" si="10"/>
        <v>2412556.6825592676</v>
      </c>
      <c r="H157" s="1">
        <f t="shared" si="10"/>
        <v>2631880.0173373828</v>
      </c>
      <c r="I157" s="1">
        <f t="shared" si="10"/>
        <v>2851203.3521154984</v>
      </c>
      <c r="J157" s="1">
        <f t="shared" si="11"/>
        <v>3070526.6868936131</v>
      </c>
      <c r="K157" s="1">
        <f t="shared" si="11"/>
        <v>3289850.0216717287</v>
      </c>
    </row>
    <row r="158" spans="1:11" x14ac:dyDescent="0.25">
      <c r="A158" t="s">
        <v>151</v>
      </c>
      <c r="B158" t="s">
        <v>152</v>
      </c>
      <c r="C158" t="s">
        <v>173</v>
      </c>
      <c r="D158" s="1">
        <v>4973284</v>
      </c>
      <c r="E158" s="1">
        <f t="shared" si="9"/>
        <v>5428498.6606323784</v>
      </c>
      <c r="F158" s="1">
        <f t="shared" si="10"/>
        <v>6203998.4692941457</v>
      </c>
      <c r="G158" s="1">
        <f t="shared" si="10"/>
        <v>6824398.3162235599</v>
      </c>
      <c r="H158" s="1">
        <f t="shared" si="10"/>
        <v>7444798.163152975</v>
      </c>
      <c r="I158" s="1">
        <f t="shared" si="10"/>
        <v>8065198.0100823902</v>
      </c>
      <c r="J158" s="1">
        <f t="shared" si="11"/>
        <v>8685597.8570118044</v>
      </c>
      <c r="K158" s="1">
        <f t="shared" si="11"/>
        <v>9305997.7039412186</v>
      </c>
    </row>
    <row r="159" spans="1:11" x14ac:dyDescent="0.25">
      <c r="A159" t="s">
        <v>82</v>
      </c>
      <c r="B159" t="s">
        <v>168</v>
      </c>
      <c r="C159" t="s">
        <v>174</v>
      </c>
      <c r="D159" s="1">
        <v>1699999</v>
      </c>
      <c r="E159" s="1">
        <f t="shared" si="9"/>
        <v>1855603.3185670439</v>
      </c>
      <c r="F159" s="1">
        <f t="shared" si="10"/>
        <v>2120689.5069337641</v>
      </c>
      <c r="G159" s="1">
        <f t="shared" si="10"/>
        <v>2332758.4576271405</v>
      </c>
      <c r="H159" s="1">
        <f t="shared" si="10"/>
        <v>2544827.4083205168</v>
      </c>
      <c r="I159" s="1">
        <f t="shared" si="10"/>
        <v>2756896.3590138936</v>
      </c>
      <c r="J159" s="1">
        <f t="shared" si="11"/>
        <v>2968965.3097072695</v>
      </c>
      <c r="K159" s="1">
        <f t="shared" si="11"/>
        <v>3181034.2604006464</v>
      </c>
    </row>
    <row r="160" spans="1:11" x14ac:dyDescent="0.25">
      <c r="A160" t="s">
        <v>82</v>
      </c>
      <c r="B160" t="s">
        <v>168</v>
      </c>
      <c r="C160" t="s">
        <v>175</v>
      </c>
      <c r="D160" s="1">
        <v>2047325</v>
      </c>
      <c r="E160" s="1">
        <f t="shared" si="9"/>
        <v>2234720.7640623748</v>
      </c>
      <c r="F160" s="1">
        <f t="shared" si="10"/>
        <v>2553966.5874998569</v>
      </c>
      <c r="G160" s="1">
        <f t="shared" si="10"/>
        <v>2809363.246249842</v>
      </c>
      <c r="H160" s="1">
        <f t="shared" si="10"/>
        <v>3064759.904999828</v>
      </c>
      <c r="I160" s="1">
        <f t="shared" si="10"/>
        <v>3320156.5637498139</v>
      </c>
      <c r="J160" s="1">
        <f t="shared" si="11"/>
        <v>3575553.222499799</v>
      </c>
      <c r="K160" s="1">
        <f t="shared" si="11"/>
        <v>3830949.881249785</v>
      </c>
    </row>
    <row r="161" spans="1:11" x14ac:dyDescent="0.25">
      <c r="A161" t="s">
        <v>151</v>
      </c>
      <c r="B161" t="s">
        <v>152</v>
      </c>
      <c r="C161" t="s">
        <v>176</v>
      </c>
      <c r="D161" s="1">
        <v>5250557</v>
      </c>
      <c r="E161" s="1">
        <f t="shared" si="9"/>
        <v>5731151.0145155508</v>
      </c>
      <c r="F161" s="1">
        <f t="shared" si="10"/>
        <v>6549886.8737320583</v>
      </c>
      <c r="G161" s="1">
        <f t="shared" si="10"/>
        <v>7204875.5611052625</v>
      </c>
      <c r="H161" s="1">
        <f t="shared" si="10"/>
        <v>7859864.2484784694</v>
      </c>
      <c r="I161" s="1">
        <f t="shared" si="10"/>
        <v>8514852.9358516745</v>
      </c>
      <c r="J161" s="1">
        <f t="shared" si="11"/>
        <v>9169841.6232248805</v>
      </c>
      <c r="K161" s="1">
        <f t="shared" si="11"/>
        <v>9824830.3105980866</v>
      </c>
    </row>
    <row r="162" spans="1:11" x14ac:dyDescent="0.25">
      <c r="A162" t="s">
        <v>151</v>
      </c>
      <c r="B162" t="s">
        <v>152</v>
      </c>
      <c r="C162" t="s">
        <v>177</v>
      </c>
      <c r="D162" s="1">
        <v>1700000</v>
      </c>
      <c r="E162" s="1">
        <f t="shared" si="9"/>
        <v>1855604.4100990498</v>
      </c>
      <c r="F162" s="1">
        <f t="shared" si="10"/>
        <v>2120690.7543989141</v>
      </c>
      <c r="G162" s="1">
        <f t="shared" si="10"/>
        <v>2332759.8298388049</v>
      </c>
      <c r="H162" s="1">
        <f t="shared" si="10"/>
        <v>2544828.9052786967</v>
      </c>
      <c r="I162" s="1">
        <f t="shared" si="10"/>
        <v>2756897.980718588</v>
      </c>
      <c r="J162" s="1">
        <f t="shared" si="11"/>
        <v>2968967.0561584793</v>
      </c>
      <c r="K162" s="1">
        <f t="shared" si="11"/>
        <v>3181036.1315983706</v>
      </c>
    </row>
    <row r="163" spans="1:11" x14ac:dyDescent="0.25">
      <c r="A163" t="s">
        <v>82</v>
      </c>
      <c r="B163" t="s">
        <v>168</v>
      </c>
      <c r="C163" t="s">
        <v>178</v>
      </c>
      <c r="D163" s="1">
        <v>1699999</v>
      </c>
      <c r="E163" s="1">
        <f t="shared" si="9"/>
        <v>1855603.3185670439</v>
      </c>
      <c r="F163" s="1">
        <f t="shared" si="10"/>
        <v>2120689.5069337641</v>
      </c>
      <c r="G163" s="1">
        <f t="shared" si="10"/>
        <v>2332758.4576271405</v>
      </c>
      <c r="H163" s="1">
        <f t="shared" si="10"/>
        <v>2544827.4083205168</v>
      </c>
      <c r="I163" s="1">
        <f t="shared" si="10"/>
        <v>2756896.3590138936</v>
      </c>
      <c r="J163" s="1">
        <f t="shared" si="11"/>
        <v>2968965.3097072695</v>
      </c>
      <c r="K163" s="1">
        <f t="shared" si="11"/>
        <v>3181034.2604006464</v>
      </c>
    </row>
    <row r="164" spans="1:11" x14ac:dyDescent="0.25">
      <c r="A164" t="s">
        <v>82</v>
      </c>
      <c r="B164" t="s">
        <v>168</v>
      </c>
      <c r="C164" t="s">
        <v>179</v>
      </c>
      <c r="D164" s="1">
        <v>2535729</v>
      </c>
      <c r="E164" s="1">
        <f t="shared" si="9"/>
        <v>2767829.3618917959</v>
      </c>
      <c r="F164" s="1">
        <f t="shared" si="10"/>
        <v>3163233.5564477667</v>
      </c>
      <c r="G164" s="1">
        <f t="shared" si="10"/>
        <v>3479556.9120925432</v>
      </c>
      <c r="H164" s="1">
        <f t="shared" si="10"/>
        <v>3795880.2677373202</v>
      </c>
      <c r="I164" s="1">
        <f t="shared" si="10"/>
        <v>4112203.6233820966</v>
      </c>
      <c r="J164" s="1">
        <f t="shared" si="11"/>
        <v>4428526.9790268736</v>
      </c>
      <c r="K164" s="1">
        <f t="shared" si="11"/>
        <v>4744850.3346716501</v>
      </c>
    </row>
    <row r="165" spans="1:11" x14ac:dyDescent="0.25">
      <c r="A165" t="s">
        <v>151</v>
      </c>
      <c r="B165" t="s">
        <v>152</v>
      </c>
      <c r="C165" t="s">
        <v>180</v>
      </c>
      <c r="D165" s="1">
        <v>3240089</v>
      </c>
      <c r="E165" s="1">
        <f t="shared" si="9"/>
        <v>3536660.8455961295</v>
      </c>
      <c r="F165" s="1">
        <f t="shared" si="10"/>
        <v>4041898.1092527192</v>
      </c>
      <c r="G165" s="1">
        <f t="shared" si="10"/>
        <v>4446087.9201779906</v>
      </c>
      <c r="H165" s="1">
        <f t="shared" si="10"/>
        <v>4850277.7311032629</v>
      </c>
      <c r="I165" s="1">
        <f t="shared" si="10"/>
        <v>5254467.5420285352</v>
      </c>
      <c r="J165" s="1">
        <f t="shared" si="11"/>
        <v>5658657.3529538065</v>
      </c>
      <c r="K165" s="1">
        <f t="shared" si="11"/>
        <v>6062847.1638790788</v>
      </c>
    </row>
    <row r="166" spans="1:11" x14ac:dyDescent="0.25">
      <c r="A166" t="s">
        <v>151</v>
      </c>
      <c r="B166" t="s">
        <v>152</v>
      </c>
      <c r="C166" t="s">
        <v>181</v>
      </c>
      <c r="D166" s="1">
        <v>2165402</v>
      </c>
      <c r="E166" s="1">
        <f t="shared" si="9"/>
        <v>2363605.5887278249</v>
      </c>
      <c r="F166" s="1">
        <f t="shared" si="10"/>
        <v>2701263.5299746571</v>
      </c>
      <c r="G166" s="1">
        <f t="shared" si="10"/>
        <v>2971389.8829721226</v>
      </c>
      <c r="H166" s="1">
        <f t="shared" si="10"/>
        <v>3241516.2359695882</v>
      </c>
      <c r="I166" s="1">
        <f t="shared" si="10"/>
        <v>3511642.5889670542</v>
      </c>
      <c r="J166" s="1">
        <f t="shared" si="11"/>
        <v>3781768.9419645197</v>
      </c>
      <c r="K166" s="1">
        <f t="shared" si="11"/>
        <v>4051895.2949619852</v>
      </c>
    </row>
    <row r="167" spans="1:11" x14ac:dyDescent="0.25">
      <c r="A167" t="s">
        <v>151</v>
      </c>
      <c r="B167" t="s">
        <v>182</v>
      </c>
      <c r="C167" t="s">
        <v>183</v>
      </c>
      <c r="D167" s="1">
        <v>6017287</v>
      </c>
      <c r="E167" s="1">
        <f t="shared" si="9"/>
        <v>6568061.3494304009</v>
      </c>
      <c r="F167" s="1">
        <f t="shared" si="10"/>
        <v>7506355.8279204573</v>
      </c>
      <c r="G167" s="1">
        <f t="shared" si="10"/>
        <v>8256991.410712502</v>
      </c>
      <c r="H167" s="1">
        <f t="shared" si="10"/>
        <v>9007626.9935045484</v>
      </c>
      <c r="I167" s="1">
        <f t="shared" si="10"/>
        <v>9758262.576296594</v>
      </c>
      <c r="J167" s="1">
        <f t="shared" si="11"/>
        <v>10508898.15908864</v>
      </c>
      <c r="K167" s="1">
        <f t="shared" si="11"/>
        <v>11259533.741880685</v>
      </c>
    </row>
    <row r="168" spans="1:11" x14ac:dyDescent="0.25">
      <c r="A168" t="s">
        <v>151</v>
      </c>
      <c r="B168" t="s">
        <v>182</v>
      </c>
      <c r="C168" t="s">
        <v>184</v>
      </c>
      <c r="D168" s="1">
        <v>4672404</v>
      </c>
      <c r="E168" s="1">
        <f t="shared" si="9"/>
        <v>5100078.5106849652</v>
      </c>
      <c r="F168" s="1">
        <f t="shared" si="10"/>
        <v>5828661.1550685316</v>
      </c>
      <c r="G168" s="1">
        <f t="shared" si="10"/>
        <v>6411527.2705753837</v>
      </c>
      <c r="H168" s="1">
        <f t="shared" si="10"/>
        <v>6994393.3860822367</v>
      </c>
      <c r="I168" s="1">
        <f t="shared" si="10"/>
        <v>7577259.5015890906</v>
      </c>
      <c r="J168" s="1">
        <f t="shared" si="11"/>
        <v>8160125.6170959426</v>
      </c>
      <c r="K168" s="1">
        <f t="shared" si="11"/>
        <v>8742991.7326027956</v>
      </c>
    </row>
    <row r="169" spans="1:11" x14ac:dyDescent="0.25">
      <c r="A169" t="s">
        <v>151</v>
      </c>
      <c r="B169" t="s">
        <v>182</v>
      </c>
      <c r="C169" t="s">
        <v>185</v>
      </c>
      <c r="D169" s="1">
        <v>4691263</v>
      </c>
      <c r="E169" s="1">
        <f t="shared" si="9"/>
        <v>5120663.7127849991</v>
      </c>
      <c r="F169" s="1">
        <f t="shared" si="10"/>
        <v>5852187.1003257129</v>
      </c>
      <c r="G169" s="1">
        <f t="shared" si="10"/>
        <v>6437405.810358284</v>
      </c>
      <c r="H169" s="1">
        <f t="shared" si="10"/>
        <v>7022624.5203908551</v>
      </c>
      <c r="I169" s="1">
        <f t="shared" si="10"/>
        <v>7607843.2304234272</v>
      </c>
      <c r="J169" s="1">
        <f t="shared" si="11"/>
        <v>8193061.9404559974</v>
      </c>
      <c r="K169" s="1">
        <f t="shared" si="11"/>
        <v>8778280.6504885685</v>
      </c>
    </row>
    <row r="170" spans="1:11" x14ac:dyDescent="0.25">
      <c r="A170" t="s">
        <v>151</v>
      </c>
      <c r="B170" t="s">
        <v>182</v>
      </c>
      <c r="C170" t="s">
        <v>186</v>
      </c>
      <c r="D170" s="1">
        <v>3338646</v>
      </c>
      <c r="E170" s="1">
        <f t="shared" si="9"/>
        <v>3644238.9655056191</v>
      </c>
      <c r="F170" s="1">
        <f t="shared" si="10"/>
        <v>4164844.5320064216</v>
      </c>
      <c r="G170" s="1">
        <f t="shared" si="10"/>
        <v>4581328.9852070631</v>
      </c>
      <c r="H170" s="1">
        <f t="shared" si="10"/>
        <v>4997813.4384077052</v>
      </c>
      <c r="I170" s="1">
        <f t="shared" si="10"/>
        <v>5414297.8916083481</v>
      </c>
      <c r="J170" s="1">
        <f t="shared" si="11"/>
        <v>5830782.3448089892</v>
      </c>
      <c r="K170" s="1">
        <f t="shared" si="11"/>
        <v>6247266.7980096322</v>
      </c>
    </row>
    <row r="171" spans="1:11" x14ac:dyDescent="0.25">
      <c r="A171" t="s">
        <v>151</v>
      </c>
      <c r="B171" t="s">
        <v>182</v>
      </c>
      <c r="C171" t="s">
        <v>187</v>
      </c>
      <c r="D171" s="1">
        <v>3889523</v>
      </c>
      <c r="E171" s="1">
        <f t="shared" si="9"/>
        <v>4245538.8423421681</v>
      </c>
      <c r="F171" s="1">
        <f t="shared" si="10"/>
        <v>4852044.3912481926</v>
      </c>
      <c r="G171" s="1">
        <f t="shared" si="10"/>
        <v>5337248.8303730106</v>
      </c>
      <c r="H171" s="1">
        <f t="shared" si="10"/>
        <v>5822453.2694978304</v>
      </c>
      <c r="I171" s="1">
        <f t="shared" si="10"/>
        <v>6307657.7086226502</v>
      </c>
      <c r="J171" s="1">
        <f t="shared" si="11"/>
        <v>6792862.1477474682</v>
      </c>
      <c r="K171" s="1">
        <f t="shared" si="11"/>
        <v>7278066.586872288</v>
      </c>
    </row>
    <row r="172" spans="1:11" x14ac:dyDescent="0.25">
      <c r="A172" t="s">
        <v>151</v>
      </c>
      <c r="B172" t="s">
        <v>182</v>
      </c>
      <c r="C172" t="s">
        <v>188</v>
      </c>
      <c r="D172" s="1">
        <v>6900068</v>
      </c>
      <c r="E172" s="1">
        <f t="shared" si="9"/>
        <v>7531645.0651666643</v>
      </c>
      <c r="F172" s="1">
        <f t="shared" si="10"/>
        <v>8607594.3601904735</v>
      </c>
      <c r="G172" s="1">
        <f t="shared" si="10"/>
        <v>9468353.7962095197</v>
      </c>
      <c r="H172" s="1">
        <f t="shared" si="10"/>
        <v>10329113.232228568</v>
      </c>
      <c r="I172" s="1">
        <f t="shared" si="10"/>
        <v>11189872.668247616</v>
      </c>
      <c r="J172" s="1">
        <f t="shared" si="11"/>
        <v>12050632.104266662</v>
      </c>
      <c r="K172" s="1">
        <f t="shared" si="11"/>
        <v>12911391.54028571</v>
      </c>
    </row>
    <row r="173" spans="1:11" x14ac:dyDescent="0.25">
      <c r="A173" t="s">
        <v>151</v>
      </c>
      <c r="B173" t="s">
        <v>182</v>
      </c>
      <c r="C173" t="s">
        <v>189</v>
      </c>
      <c r="D173" s="1">
        <v>2390166</v>
      </c>
      <c r="E173" s="1">
        <f t="shared" si="9"/>
        <v>2608942.6885110619</v>
      </c>
      <c r="F173" s="1">
        <f t="shared" si="10"/>
        <v>2981648.7868697848</v>
      </c>
      <c r="G173" s="1">
        <f t="shared" si="10"/>
        <v>3279813.6655567633</v>
      </c>
      <c r="H173" s="1">
        <f t="shared" si="10"/>
        <v>3577978.5442437418</v>
      </c>
      <c r="I173" s="1">
        <f t="shared" si="10"/>
        <v>3876143.4229307203</v>
      </c>
      <c r="J173" s="1">
        <f t="shared" si="11"/>
        <v>4174308.3016176987</v>
      </c>
      <c r="K173" s="1">
        <f t="shared" si="11"/>
        <v>4472473.1803046772</v>
      </c>
    </row>
    <row r="174" spans="1:11" x14ac:dyDescent="0.25">
      <c r="A174" t="s">
        <v>151</v>
      </c>
      <c r="B174" t="s">
        <v>182</v>
      </c>
      <c r="C174" t="s">
        <v>190</v>
      </c>
      <c r="D174" s="1">
        <v>2969773</v>
      </c>
      <c r="E174" s="1">
        <f t="shared" si="9"/>
        <v>3241602.2798782852</v>
      </c>
      <c r="F174" s="1">
        <f t="shared" si="10"/>
        <v>3704688.3198608975</v>
      </c>
      <c r="G174" s="1">
        <f t="shared" si="10"/>
        <v>4075157.1518469867</v>
      </c>
      <c r="H174" s="1">
        <f t="shared" si="10"/>
        <v>4445625.9838330764</v>
      </c>
      <c r="I174" s="1">
        <f t="shared" si="10"/>
        <v>4816094.8158191666</v>
      </c>
      <c r="J174" s="1">
        <f t="shared" si="11"/>
        <v>5186563.6478052558</v>
      </c>
      <c r="K174" s="1">
        <f t="shared" si="11"/>
        <v>5557032.479791346</v>
      </c>
    </row>
    <row r="175" spans="1:11" x14ac:dyDescent="0.25">
      <c r="A175" t="s">
        <v>151</v>
      </c>
      <c r="B175" t="s">
        <v>182</v>
      </c>
      <c r="C175" t="s">
        <v>191</v>
      </c>
      <c r="D175" s="1">
        <v>4026323</v>
      </c>
      <c r="E175" s="1">
        <f t="shared" si="9"/>
        <v>4394860.4207548453</v>
      </c>
      <c r="F175" s="1">
        <f t="shared" si="10"/>
        <v>5022697.6237198226</v>
      </c>
      <c r="G175" s="1">
        <f t="shared" si="10"/>
        <v>5524967.3860918041</v>
      </c>
      <c r="H175" s="1">
        <f t="shared" si="10"/>
        <v>6027237.1484637866</v>
      </c>
      <c r="I175" s="1">
        <f t="shared" si="10"/>
        <v>6529506.910835769</v>
      </c>
      <c r="J175" s="1">
        <f t="shared" si="11"/>
        <v>7031776.6732077505</v>
      </c>
      <c r="K175" s="1">
        <f t="shared" si="11"/>
        <v>7534046.435579733</v>
      </c>
    </row>
    <row r="176" spans="1:11" x14ac:dyDescent="0.25">
      <c r="A176" t="s">
        <v>151</v>
      </c>
      <c r="B176" t="s">
        <v>182</v>
      </c>
      <c r="C176" t="s">
        <v>192</v>
      </c>
      <c r="D176" s="1">
        <v>2689387</v>
      </c>
      <c r="E176" s="1">
        <f t="shared" si="9"/>
        <v>2935551.9868606194</v>
      </c>
      <c r="F176" s="1">
        <f t="shared" si="10"/>
        <v>3354916.5564121366</v>
      </c>
      <c r="G176" s="1">
        <f t="shared" si="10"/>
        <v>3690408.2120533497</v>
      </c>
      <c r="H176" s="1">
        <f t="shared" si="10"/>
        <v>4025899.8676945637</v>
      </c>
      <c r="I176" s="1">
        <f t="shared" si="10"/>
        <v>4361391.5233357772</v>
      </c>
      <c r="J176" s="1">
        <f t="shared" si="11"/>
        <v>4696883.1789769903</v>
      </c>
      <c r="K176" s="1">
        <f t="shared" si="11"/>
        <v>5032374.8346182043</v>
      </c>
    </row>
    <row r="177" spans="1:11" x14ac:dyDescent="0.25">
      <c r="A177" t="s">
        <v>151</v>
      </c>
      <c r="B177" t="s">
        <v>182</v>
      </c>
      <c r="C177" t="s">
        <v>193</v>
      </c>
      <c r="D177" s="1">
        <v>3452421</v>
      </c>
      <c r="E177" s="1">
        <f t="shared" si="9"/>
        <v>3768428.0194815127</v>
      </c>
      <c r="F177" s="1">
        <f t="shared" si="10"/>
        <v>4306774.8794074431</v>
      </c>
      <c r="G177" s="1">
        <f t="shared" si="10"/>
        <v>4737452.3673481867</v>
      </c>
      <c r="H177" s="1">
        <f t="shared" si="10"/>
        <v>5168129.8552889312</v>
      </c>
      <c r="I177" s="1">
        <f t="shared" si="10"/>
        <v>5598807.3432296757</v>
      </c>
      <c r="J177" s="1">
        <f t="shared" si="11"/>
        <v>6029484.8311704192</v>
      </c>
      <c r="K177" s="1">
        <f t="shared" si="11"/>
        <v>6460162.3191111637</v>
      </c>
    </row>
    <row r="178" spans="1:11" x14ac:dyDescent="0.25">
      <c r="A178" t="s">
        <v>151</v>
      </c>
      <c r="B178" t="s">
        <v>182</v>
      </c>
      <c r="C178" t="s">
        <v>194</v>
      </c>
      <c r="D178" s="1">
        <v>4683000</v>
      </c>
      <c r="E178" s="1">
        <f t="shared" si="9"/>
        <v>5111644.3838199116</v>
      </c>
      <c r="F178" s="1">
        <f t="shared" si="10"/>
        <v>5841879.2957941843</v>
      </c>
      <c r="G178" s="1">
        <f t="shared" si="10"/>
        <v>6426067.2253736025</v>
      </c>
      <c r="H178" s="1">
        <f t="shared" si="10"/>
        <v>7010255.1549530216</v>
      </c>
      <c r="I178" s="1">
        <f t="shared" si="10"/>
        <v>7594443.0845324397</v>
      </c>
      <c r="J178" s="1">
        <f t="shared" si="11"/>
        <v>8178631.0141118579</v>
      </c>
      <c r="K178" s="1">
        <f t="shared" si="11"/>
        <v>8762818.943691276</v>
      </c>
    </row>
    <row r="179" spans="1:11" x14ac:dyDescent="0.25">
      <c r="A179" t="s">
        <v>151</v>
      </c>
      <c r="B179" t="s">
        <v>182</v>
      </c>
      <c r="C179" t="s">
        <v>195</v>
      </c>
      <c r="D179" s="1">
        <v>5228649</v>
      </c>
      <c r="E179" s="1">
        <f t="shared" si="9"/>
        <v>5707237.7313294038</v>
      </c>
      <c r="F179" s="1">
        <f t="shared" si="10"/>
        <v>6522557.4072336042</v>
      </c>
      <c r="G179" s="1">
        <f t="shared" si="10"/>
        <v>7174813.1479569636</v>
      </c>
      <c r="H179" s="1">
        <f t="shared" si="10"/>
        <v>7827068.8886803249</v>
      </c>
      <c r="I179" s="1">
        <f t="shared" si="10"/>
        <v>8479324.6294036862</v>
      </c>
      <c r="J179" s="1">
        <f t="shared" si="11"/>
        <v>9131580.3701270446</v>
      </c>
      <c r="K179" s="1">
        <f t="shared" si="11"/>
        <v>9783836.1108504049</v>
      </c>
    </row>
    <row r="180" spans="1:11" x14ac:dyDescent="0.25">
      <c r="A180" t="s">
        <v>151</v>
      </c>
      <c r="B180" t="s">
        <v>213</v>
      </c>
      <c r="C180" t="s">
        <v>196</v>
      </c>
      <c r="D180" s="1">
        <v>9347594</v>
      </c>
      <c r="E180" s="1">
        <f t="shared" si="9"/>
        <v>10203198.029538481</v>
      </c>
      <c r="F180" s="1">
        <f t="shared" si="10"/>
        <v>11660797.748043977</v>
      </c>
      <c r="G180" s="1">
        <f t="shared" si="10"/>
        <v>12826877.522848373</v>
      </c>
      <c r="H180" s="1">
        <f t="shared" si="10"/>
        <v>13992957.297652772</v>
      </c>
      <c r="I180" s="1">
        <f t="shared" si="10"/>
        <v>15159037.07245717</v>
      </c>
      <c r="J180" s="1">
        <f t="shared" si="11"/>
        <v>16325116.847261567</v>
      </c>
      <c r="K180" s="1">
        <f t="shared" si="11"/>
        <v>17491196.622065965</v>
      </c>
    </row>
    <row r="181" spans="1:11" x14ac:dyDescent="0.25">
      <c r="A181" t="s">
        <v>151</v>
      </c>
      <c r="B181" t="s">
        <v>182</v>
      </c>
      <c r="C181" t="s">
        <v>197</v>
      </c>
      <c r="D181" s="1">
        <v>3938489</v>
      </c>
      <c r="E181" s="1">
        <f t="shared" si="9"/>
        <v>4298986.798545057</v>
      </c>
      <c r="F181" s="1">
        <f t="shared" si="10"/>
        <v>4913127.7697657794</v>
      </c>
      <c r="G181" s="1">
        <f t="shared" si="10"/>
        <v>5404440.5467423564</v>
      </c>
      <c r="H181" s="1">
        <f t="shared" si="10"/>
        <v>5895753.3237189343</v>
      </c>
      <c r="I181" s="1">
        <f t="shared" si="10"/>
        <v>6387066.1006955123</v>
      </c>
      <c r="J181" s="1">
        <f t="shared" si="11"/>
        <v>6878378.8776720902</v>
      </c>
      <c r="K181" s="1">
        <f t="shared" si="11"/>
        <v>7369691.6546486681</v>
      </c>
    </row>
    <row r="182" spans="1:11" x14ac:dyDescent="0.25">
      <c r="A182" t="s">
        <v>151</v>
      </c>
      <c r="B182" t="s">
        <v>198</v>
      </c>
      <c r="C182" t="s">
        <v>199</v>
      </c>
      <c r="D182" s="1">
        <v>1975649</v>
      </c>
      <c r="E182" s="1">
        <f t="shared" si="9"/>
        <v>2156484.116004575</v>
      </c>
      <c r="F182" s="1">
        <f t="shared" si="10"/>
        <v>2464553.2754338002</v>
      </c>
      <c r="G182" s="1">
        <f t="shared" si="10"/>
        <v>2711008.6029771795</v>
      </c>
      <c r="H182" s="1">
        <f t="shared" si="10"/>
        <v>2957463.9305205597</v>
      </c>
      <c r="I182" s="1">
        <f t="shared" si="10"/>
        <v>3203919.2580639399</v>
      </c>
      <c r="J182" s="1">
        <f t="shared" si="11"/>
        <v>3450374.5856073196</v>
      </c>
      <c r="K182" s="1">
        <f t="shared" si="11"/>
        <v>3696829.9131506998</v>
      </c>
    </row>
    <row r="183" spans="1:11" x14ac:dyDescent="0.25">
      <c r="A183" t="s">
        <v>151</v>
      </c>
      <c r="B183" t="s">
        <v>198</v>
      </c>
      <c r="C183" t="s">
        <v>200</v>
      </c>
      <c r="D183" s="1">
        <v>3095946</v>
      </c>
      <c r="E183" s="1">
        <f t="shared" si="9"/>
        <v>3379324.1476638308</v>
      </c>
      <c r="F183" s="1">
        <f t="shared" si="10"/>
        <v>3862084.7401872352</v>
      </c>
      <c r="G183" s="1">
        <f t="shared" si="10"/>
        <v>4248293.2142059579</v>
      </c>
      <c r="H183" s="1">
        <f t="shared" si="10"/>
        <v>4634501.6882246817</v>
      </c>
      <c r="I183" s="1">
        <f t="shared" si="10"/>
        <v>5020710.1622434063</v>
      </c>
      <c r="J183" s="1">
        <f t="shared" si="11"/>
        <v>5406918.6362621291</v>
      </c>
      <c r="K183" s="1">
        <f t="shared" si="11"/>
        <v>5793127.1102808528</v>
      </c>
    </row>
    <row r="184" spans="1:11" x14ac:dyDescent="0.25">
      <c r="A184" t="s">
        <v>151</v>
      </c>
      <c r="B184" t="s">
        <v>198</v>
      </c>
      <c r="C184" t="s">
        <v>201</v>
      </c>
      <c r="D184" s="1">
        <v>5708491</v>
      </c>
      <c r="E184" s="1">
        <f t="shared" si="9"/>
        <v>6231000.6321239611</v>
      </c>
      <c r="F184" s="1">
        <f t="shared" si="10"/>
        <v>7121143.5795702413</v>
      </c>
      <c r="G184" s="1">
        <f t="shared" si="10"/>
        <v>7833257.9375272645</v>
      </c>
      <c r="H184" s="1">
        <f t="shared" si="10"/>
        <v>8545372.2954842895</v>
      </c>
      <c r="I184" s="1">
        <f t="shared" si="10"/>
        <v>9257486.6534413137</v>
      </c>
      <c r="J184" s="1">
        <f t="shared" si="11"/>
        <v>9969601.0113983378</v>
      </c>
      <c r="K184" s="1">
        <f t="shared" si="11"/>
        <v>10681715.369355362</v>
      </c>
    </row>
    <row r="185" spans="1:11" x14ac:dyDescent="0.25">
      <c r="A185" t="s">
        <v>151</v>
      </c>
      <c r="B185" t="s">
        <v>198</v>
      </c>
      <c r="C185" t="s">
        <v>202</v>
      </c>
      <c r="D185" s="1">
        <v>2747547</v>
      </c>
      <c r="E185" s="1">
        <f t="shared" si="9"/>
        <v>2999035.4883261258</v>
      </c>
      <c r="F185" s="1">
        <f t="shared" si="10"/>
        <v>3427469.1295155725</v>
      </c>
      <c r="G185" s="1">
        <f t="shared" si="10"/>
        <v>3770216.042467129</v>
      </c>
      <c r="H185" s="1">
        <f t="shared" si="10"/>
        <v>4112962.9554186864</v>
      </c>
      <c r="I185" s="1">
        <f t="shared" si="10"/>
        <v>4455709.8683702443</v>
      </c>
      <c r="J185" s="1">
        <f t="shared" si="11"/>
        <v>4798456.7813218003</v>
      </c>
      <c r="K185" s="1">
        <f t="shared" si="11"/>
        <v>5141203.6942733582</v>
      </c>
    </row>
    <row r="186" spans="1:11" x14ac:dyDescent="0.25">
      <c r="A186" t="s">
        <v>151</v>
      </c>
      <c r="B186" t="s">
        <v>198</v>
      </c>
      <c r="C186" t="s">
        <v>203</v>
      </c>
      <c r="D186" s="1">
        <v>5651202</v>
      </c>
      <c r="E186" s="1">
        <f t="shared" si="9"/>
        <v>6168467.8550356291</v>
      </c>
      <c r="F186" s="1">
        <f t="shared" si="10"/>
        <v>7049677.5486121476</v>
      </c>
      <c r="G186" s="1">
        <f t="shared" si="10"/>
        <v>7754645.3034733618</v>
      </c>
      <c r="H186" s="1">
        <f t="shared" si="10"/>
        <v>8459613.058334576</v>
      </c>
      <c r="I186" s="1">
        <f t="shared" si="10"/>
        <v>9164580.813195793</v>
      </c>
      <c r="J186" s="1">
        <f t="shared" si="11"/>
        <v>9869548.5680570062</v>
      </c>
      <c r="K186" s="1">
        <f t="shared" si="11"/>
        <v>10574516.322918221</v>
      </c>
    </row>
    <row r="187" spans="1:11" x14ac:dyDescent="0.25">
      <c r="A187" t="s">
        <v>151</v>
      </c>
      <c r="B187" t="s">
        <v>198</v>
      </c>
      <c r="C187" t="s">
        <v>204</v>
      </c>
      <c r="D187" s="1">
        <v>3602862</v>
      </c>
      <c r="E187" s="1">
        <f t="shared" si="9"/>
        <v>3932639.1859872253</v>
      </c>
      <c r="F187" s="1">
        <f t="shared" si="10"/>
        <v>4494444.7839853996</v>
      </c>
      <c r="G187" s="1">
        <f t="shared" si="10"/>
        <v>4943889.2623839397</v>
      </c>
      <c r="H187" s="1">
        <f t="shared" si="10"/>
        <v>5393333.7407824798</v>
      </c>
      <c r="I187" s="1">
        <f t="shared" si="10"/>
        <v>5842778.2191810198</v>
      </c>
      <c r="J187" s="1">
        <f t="shared" si="11"/>
        <v>6292222.6975795589</v>
      </c>
      <c r="K187" s="1">
        <f t="shared" si="11"/>
        <v>6741667.1759780999</v>
      </c>
    </row>
    <row r="188" spans="1:11" x14ac:dyDescent="0.25">
      <c r="A188" t="s">
        <v>151</v>
      </c>
      <c r="B188" t="s">
        <v>198</v>
      </c>
      <c r="C188" t="s">
        <v>205</v>
      </c>
      <c r="D188" s="1">
        <v>2330656</v>
      </c>
      <c r="E188" s="1">
        <f t="shared" si="9"/>
        <v>2543985.6188375358</v>
      </c>
      <c r="F188" s="1">
        <f t="shared" si="10"/>
        <v>2907412.1358143263</v>
      </c>
      <c r="G188" s="1">
        <f t="shared" si="10"/>
        <v>3198153.3493957589</v>
      </c>
      <c r="H188" s="1">
        <f t="shared" si="10"/>
        <v>3488894.5629771915</v>
      </c>
      <c r="I188" s="1">
        <f t="shared" si="10"/>
        <v>3779635.7765586246</v>
      </c>
      <c r="J188" s="1">
        <f t="shared" si="11"/>
        <v>4070376.9901400567</v>
      </c>
      <c r="K188" s="1">
        <f t="shared" si="11"/>
        <v>4361118.2037214898</v>
      </c>
    </row>
    <row r="189" spans="1:11" x14ac:dyDescent="0.25">
      <c r="A189" t="s">
        <v>151</v>
      </c>
      <c r="B189" t="s">
        <v>198</v>
      </c>
      <c r="C189" t="s">
        <v>206</v>
      </c>
      <c r="D189" s="1">
        <v>8097529</v>
      </c>
      <c r="E189" s="1">
        <f t="shared" si="9"/>
        <v>8838712.0725323223</v>
      </c>
      <c r="F189" s="1">
        <f t="shared" si="10"/>
        <v>10101385.225751225</v>
      </c>
      <c r="G189" s="1">
        <f t="shared" si="10"/>
        <v>11111523.748326346</v>
      </c>
      <c r="H189" s="1">
        <f t="shared" si="10"/>
        <v>12121662.27090147</v>
      </c>
      <c r="I189" s="1">
        <f t="shared" si="10"/>
        <v>13131800.793476593</v>
      </c>
      <c r="J189" s="1">
        <f t="shared" si="11"/>
        <v>14141939.316051714</v>
      </c>
      <c r="K189" s="1">
        <f t="shared" si="11"/>
        <v>15152077.838626837</v>
      </c>
    </row>
    <row r="190" spans="1:11" x14ac:dyDescent="0.25">
      <c r="A190" t="s">
        <v>151</v>
      </c>
      <c r="B190" t="s">
        <v>198</v>
      </c>
      <c r="C190" t="s">
        <v>207</v>
      </c>
      <c r="D190" s="1">
        <v>12004990</v>
      </c>
      <c r="E190" s="1">
        <f t="shared" si="9"/>
        <v>13103830.815997053</v>
      </c>
      <c r="F190" s="1">
        <f t="shared" si="10"/>
        <v>14975806.646853775</v>
      </c>
      <c r="G190" s="1">
        <f t="shared" si="10"/>
        <v>16473387.311539151</v>
      </c>
      <c r="H190" s="1">
        <f t="shared" si="10"/>
        <v>17970967.97622453</v>
      </c>
      <c r="I190" s="1">
        <f t="shared" si="10"/>
        <v>19468548.640909906</v>
      </c>
      <c r="J190" s="1">
        <f t="shared" si="11"/>
        <v>20966129.305595282</v>
      </c>
      <c r="K190" s="1">
        <f t="shared" si="11"/>
        <v>22463709.970280662</v>
      </c>
    </row>
    <row r="191" spans="1:11" x14ac:dyDescent="0.25">
      <c r="A191" t="s">
        <v>151</v>
      </c>
      <c r="B191" t="s">
        <v>198</v>
      </c>
      <c r="C191" t="s">
        <v>208</v>
      </c>
      <c r="D191" s="1">
        <v>2587893</v>
      </c>
      <c r="E191" s="1">
        <f t="shared" si="9"/>
        <v>2824768.0374496826</v>
      </c>
      <c r="F191" s="1">
        <f t="shared" si="10"/>
        <v>3228306.3285139226</v>
      </c>
      <c r="G191" s="1">
        <f t="shared" si="10"/>
        <v>3551136.9613653147</v>
      </c>
      <c r="H191" s="1">
        <f t="shared" si="10"/>
        <v>3873967.5942167072</v>
      </c>
      <c r="I191" s="1">
        <f t="shared" si="10"/>
        <v>4196798.2270680992</v>
      </c>
      <c r="J191" s="1">
        <f t="shared" si="11"/>
        <v>4519628.8599194912</v>
      </c>
      <c r="K191" s="1">
        <f t="shared" si="11"/>
        <v>4842459.4927708842</v>
      </c>
    </row>
    <row r="192" spans="1:11" x14ac:dyDescent="0.25">
      <c r="A192" t="s">
        <v>151</v>
      </c>
      <c r="B192" t="s">
        <v>198</v>
      </c>
      <c r="C192" t="s">
        <v>209</v>
      </c>
      <c r="D192" s="1">
        <v>5165552</v>
      </c>
      <c r="E192" s="1">
        <f t="shared" si="9"/>
        <v>5638365.3363505686</v>
      </c>
      <c r="F192" s="1">
        <f t="shared" si="10"/>
        <v>6443846.0986863635</v>
      </c>
      <c r="G192" s="1">
        <f t="shared" si="10"/>
        <v>7088230.7085549999</v>
      </c>
      <c r="H192" s="1">
        <f t="shared" si="10"/>
        <v>7732615.3184236363</v>
      </c>
      <c r="I192" s="1">
        <f t="shared" si="10"/>
        <v>8376999.9282922726</v>
      </c>
      <c r="J192" s="1">
        <f t="shared" si="11"/>
        <v>9021384.538160909</v>
      </c>
      <c r="K192" s="1">
        <f t="shared" si="11"/>
        <v>9665769.1480295453</v>
      </c>
    </row>
    <row r="193" spans="1:11" x14ac:dyDescent="0.25">
      <c r="A193" t="s">
        <v>151</v>
      </c>
      <c r="B193" t="s">
        <v>198</v>
      </c>
      <c r="C193" t="s">
        <v>210</v>
      </c>
      <c r="D193" s="1">
        <v>2285102</v>
      </c>
      <c r="E193" s="1">
        <f t="shared" si="9"/>
        <v>2494261.9698389168</v>
      </c>
      <c r="F193" s="1">
        <f t="shared" si="10"/>
        <v>2850585.1083873333</v>
      </c>
      <c r="G193" s="1">
        <f t="shared" si="10"/>
        <v>3135643.6192260664</v>
      </c>
      <c r="H193" s="1">
        <f t="shared" si="10"/>
        <v>3420702.1300647999</v>
      </c>
      <c r="I193" s="1">
        <f t="shared" si="10"/>
        <v>3705760.6409035334</v>
      </c>
      <c r="J193" s="1">
        <f t="shared" si="11"/>
        <v>3990819.1517422665</v>
      </c>
      <c r="K193" s="1">
        <f t="shared" si="11"/>
        <v>4275877.6625810005</v>
      </c>
    </row>
    <row r="194" spans="1:11" x14ac:dyDescent="0.25">
      <c r="A194" t="s">
        <v>151</v>
      </c>
      <c r="B194" t="s">
        <v>198</v>
      </c>
      <c r="C194" t="s">
        <v>211</v>
      </c>
      <c r="D194" s="1">
        <v>4883142</v>
      </c>
      <c r="E194" s="1">
        <f t="shared" si="9"/>
        <v>5330105.7825528784</v>
      </c>
      <c r="F194" s="1">
        <f t="shared" si="10"/>
        <v>6091549.4657747187</v>
      </c>
      <c r="G194" s="1">
        <f t="shared" si="10"/>
        <v>6700704.4123521894</v>
      </c>
      <c r="H194" s="1">
        <f t="shared" si="10"/>
        <v>7309859.358929662</v>
      </c>
      <c r="I194" s="1">
        <f t="shared" si="10"/>
        <v>7919014.3055071337</v>
      </c>
      <c r="J194" s="1">
        <f t="shared" si="11"/>
        <v>8528169.2520846054</v>
      </c>
      <c r="K194" s="1">
        <f t="shared" si="11"/>
        <v>9137324.198662078</v>
      </c>
    </row>
    <row r="195" spans="1:11" x14ac:dyDescent="0.25">
      <c r="A195" t="s">
        <v>151</v>
      </c>
      <c r="B195" t="s">
        <v>198</v>
      </c>
      <c r="C195" t="s">
        <v>212</v>
      </c>
      <c r="D195" s="1">
        <v>8839154</v>
      </c>
      <c r="E195" s="1">
        <f t="shared" si="9"/>
        <v>9648219.496438032</v>
      </c>
      <c r="F195" s="1">
        <f t="shared" si="10"/>
        <v>11026536.567357752</v>
      </c>
      <c r="G195" s="1">
        <f t="shared" si="10"/>
        <v>12129190.224093525</v>
      </c>
      <c r="H195" s="1">
        <f t="shared" si="10"/>
        <v>13231843.880829301</v>
      </c>
      <c r="I195" s="1">
        <f t="shared" ref="I195" si="12">I$1/SUM($D$3:$D$696)*$D195</f>
        <v>14334497.537565077</v>
      </c>
      <c r="J195" s="1">
        <f t="shared" si="11"/>
        <v>15437151.194300851</v>
      </c>
      <c r="K195" s="1">
        <f t="shared" si="11"/>
        <v>16539804.851036627</v>
      </c>
    </row>
    <row r="196" spans="1:11" x14ac:dyDescent="0.25">
      <c r="A196" t="s">
        <v>151</v>
      </c>
      <c r="B196" t="s">
        <v>213</v>
      </c>
      <c r="C196" t="s">
        <v>214</v>
      </c>
      <c r="D196" s="1">
        <v>4663120</v>
      </c>
      <c r="E196" s="1">
        <f t="shared" ref="E196:E259" si="13">$E$1/SUM($D$3:$D$696)*D196</f>
        <v>5089944.7275418127</v>
      </c>
      <c r="F196" s="1">
        <f t="shared" ref="F196:I259" si="14">F$1/SUM($D$3:$D$696)*$D196</f>
        <v>5817079.6886192141</v>
      </c>
      <c r="G196" s="1">
        <f t="shared" si="14"/>
        <v>6398787.6574811349</v>
      </c>
      <c r="H196" s="1">
        <f t="shared" si="14"/>
        <v>6980495.6263430566</v>
      </c>
      <c r="I196" s="1">
        <f t="shared" si="14"/>
        <v>7562203.5952049782</v>
      </c>
      <c r="J196" s="1">
        <f t="shared" ref="J196:K259" si="15">J$1/SUM($D$3:$D$696)*$D196</f>
        <v>8143911.564066899</v>
      </c>
      <c r="K196" s="1">
        <f t="shared" si="15"/>
        <v>8725619.5329288207</v>
      </c>
    </row>
    <row r="197" spans="1:11" x14ac:dyDescent="0.25">
      <c r="A197" t="s">
        <v>151</v>
      </c>
      <c r="B197" t="s">
        <v>213</v>
      </c>
      <c r="C197" t="s">
        <v>215</v>
      </c>
      <c r="D197" s="1">
        <v>2640962</v>
      </c>
      <c r="E197" s="1">
        <f t="shared" si="13"/>
        <v>2882694.5494729453</v>
      </c>
      <c r="F197" s="1">
        <f t="shared" si="14"/>
        <v>3294508.0565405088</v>
      </c>
      <c r="G197" s="1">
        <f t="shared" si="14"/>
        <v>3623958.8621945591</v>
      </c>
      <c r="H197" s="1">
        <f t="shared" si="14"/>
        <v>3953409.6678486099</v>
      </c>
      <c r="I197" s="1">
        <f t="shared" si="14"/>
        <v>4282860.4735026611</v>
      </c>
      <c r="J197" s="1">
        <f t="shared" si="15"/>
        <v>4612311.2791567119</v>
      </c>
      <c r="K197" s="1">
        <f t="shared" si="15"/>
        <v>4941762.0848107627</v>
      </c>
    </row>
    <row r="198" spans="1:11" x14ac:dyDescent="0.25">
      <c r="A198" t="s">
        <v>151</v>
      </c>
      <c r="B198" t="s">
        <v>213</v>
      </c>
      <c r="C198" t="s">
        <v>216</v>
      </c>
      <c r="D198" s="1">
        <v>5769136</v>
      </c>
      <c r="E198" s="1">
        <f t="shared" si="13"/>
        <v>6297196.59062423</v>
      </c>
      <c r="F198" s="1">
        <f t="shared" si="14"/>
        <v>7196796.1035705488</v>
      </c>
      <c r="G198" s="1">
        <f t="shared" si="14"/>
        <v>7916475.7139276024</v>
      </c>
      <c r="H198" s="1">
        <f t="shared" si="14"/>
        <v>8636155.3242846578</v>
      </c>
      <c r="I198" s="1">
        <f t="shared" si="14"/>
        <v>9355834.9346417133</v>
      </c>
      <c r="J198" s="1">
        <f t="shared" si="15"/>
        <v>10075514.544998767</v>
      </c>
      <c r="K198" s="1">
        <f t="shared" si="15"/>
        <v>10795194.155355822</v>
      </c>
    </row>
    <row r="199" spans="1:11" x14ac:dyDescent="0.25">
      <c r="A199" t="s">
        <v>151</v>
      </c>
      <c r="B199" t="s">
        <v>213</v>
      </c>
      <c r="C199" t="s">
        <v>217</v>
      </c>
      <c r="D199" s="1">
        <v>4100115</v>
      </c>
      <c r="E199" s="1">
        <f t="shared" si="13"/>
        <v>4475406.7505372148</v>
      </c>
      <c r="F199" s="1">
        <f t="shared" si="14"/>
        <v>5114750.5720425313</v>
      </c>
      <c r="G199" s="1">
        <f t="shared" si="14"/>
        <v>5626225.6292467834</v>
      </c>
      <c r="H199" s="1">
        <f t="shared" si="14"/>
        <v>6137700.6864510374</v>
      </c>
      <c r="I199" s="1">
        <f t="shared" si="14"/>
        <v>6649175.7436552905</v>
      </c>
      <c r="J199" s="1">
        <f t="shared" si="15"/>
        <v>7160650.8008595426</v>
      </c>
      <c r="K199" s="1">
        <f t="shared" si="15"/>
        <v>7672125.8580637965</v>
      </c>
    </row>
    <row r="200" spans="1:11" x14ac:dyDescent="0.25">
      <c r="A200" t="s">
        <v>151</v>
      </c>
      <c r="B200" t="s">
        <v>213</v>
      </c>
      <c r="C200" t="s">
        <v>218</v>
      </c>
      <c r="D200" s="1">
        <v>1700000</v>
      </c>
      <c r="E200" s="1">
        <f t="shared" si="13"/>
        <v>1855604.4100990498</v>
      </c>
      <c r="F200" s="1">
        <f t="shared" si="14"/>
        <v>2120690.7543989141</v>
      </c>
      <c r="G200" s="1">
        <f t="shared" si="14"/>
        <v>2332759.8298388049</v>
      </c>
      <c r="H200" s="1">
        <f t="shared" si="14"/>
        <v>2544828.9052786967</v>
      </c>
      <c r="I200" s="1">
        <f t="shared" si="14"/>
        <v>2756897.980718588</v>
      </c>
      <c r="J200" s="1">
        <f t="shared" si="15"/>
        <v>2968967.0561584793</v>
      </c>
      <c r="K200" s="1">
        <f t="shared" si="15"/>
        <v>3181036.1315983706</v>
      </c>
    </row>
    <row r="201" spans="1:11" x14ac:dyDescent="0.25">
      <c r="A201" t="s">
        <v>151</v>
      </c>
      <c r="B201" t="s">
        <v>213</v>
      </c>
      <c r="C201" t="s">
        <v>219</v>
      </c>
      <c r="D201" s="1">
        <v>4394341</v>
      </c>
      <c r="E201" s="1">
        <f t="shared" si="13"/>
        <v>4796563.8465170991</v>
      </c>
      <c r="F201" s="1">
        <f t="shared" si="14"/>
        <v>5481787.2531623989</v>
      </c>
      <c r="G201" s="1">
        <f t="shared" si="14"/>
        <v>6029965.9784786375</v>
      </c>
      <c r="H201" s="1">
        <f t="shared" si="14"/>
        <v>6578144.703794878</v>
      </c>
      <c r="I201" s="1">
        <f t="shared" si="14"/>
        <v>7126323.4291111184</v>
      </c>
      <c r="J201" s="1">
        <f t="shared" si="15"/>
        <v>7674502.1544273579</v>
      </c>
      <c r="K201" s="1">
        <f t="shared" si="15"/>
        <v>8222680.8797435975</v>
      </c>
    </row>
    <row r="202" spans="1:11" x14ac:dyDescent="0.25">
      <c r="A202" t="s">
        <v>151</v>
      </c>
      <c r="B202" t="s">
        <v>213</v>
      </c>
      <c r="C202" t="s">
        <v>220</v>
      </c>
      <c r="D202" s="1">
        <v>1952484</v>
      </c>
      <c r="E202" s="1">
        <f t="shared" si="13"/>
        <v>2131198.7770869606</v>
      </c>
      <c r="F202" s="1">
        <f t="shared" si="14"/>
        <v>2435655.7452422408</v>
      </c>
      <c r="G202" s="1">
        <f t="shared" si="14"/>
        <v>2679221.3197664642</v>
      </c>
      <c r="H202" s="1">
        <f t="shared" si="14"/>
        <v>2922786.8942906884</v>
      </c>
      <c r="I202" s="1">
        <f t="shared" si="14"/>
        <v>3166352.4688149127</v>
      </c>
      <c r="J202" s="1">
        <f t="shared" si="15"/>
        <v>3409918.0433391365</v>
      </c>
      <c r="K202" s="1">
        <f t="shared" si="15"/>
        <v>3653483.6178633608</v>
      </c>
    </row>
    <row r="203" spans="1:11" x14ac:dyDescent="0.25">
      <c r="A203" t="s">
        <v>151</v>
      </c>
      <c r="B203" t="s">
        <v>213</v>
      </c>
      <c r="C203" t="s">
        <v>221</v>
      </c>
      <c r="D203" s="1">
        <v>3963605</v>
      </c>
      <c r="E203" s="1">
        <f t="shared" si="13"/>
        <v>4326401.7164062615</v>
      </c>
      <c r="F203" s="1">
        <f t="shared" si="14"/>
        <v>4944459.1044642981</v>
      </c>
      <c r="G203" s="1">
        <f t="shared" si="14"/>
        <v>5438905.0149107277</v>
      </c>
      <c r="H203" s="1">
        <f t="shared" si="14"/>
        <v>5933350.9253571574</v>
      </c>
      <c r="I203" s="1">
        <f t="shared" si="14"/>
        <v>6427796.8358035879</v>
      </c>
      <c r="J203" s="1">
        <f t="shared" si="15"/>
        <v>6922242.7462500175</v>
      </c>
      <c r="K203" s="1">
        <f t="shared" si="15"/>
        <v>7416688.6566964472</v>
      </c>
    </row>
    <row r="204" spans="1:11" x14ac:dyDescent="0.25">
      <c r="A204" t="s">
        <v>151</v>
      </c>
      <c r="B204" t="s">
        <v>213</v>
      </c>
      <c r="C204" t="s">
        <v>222</v>
      </c>
      <c r="D204" s="1">
        <v>3946350</v>
      </c>
      <c r="E204" s="1">
        <f t="shared" si="13"/>
        <v>4307567.3316437555</v>
      </c>
      <c r="F204" s="1">
        <f t="shared" si="14"/>
        <v>4922934.0933071496</v>
      </c>
      <c r="G204" s="1">
        <f t="shared" si="14"/>
        <v>5415227.5026378641</v>
      </c>
      <c r="H204" s="1">
        <f t="shared" si="14"/>
        <v>5907520.9119685786</v>
      </c>
      <c r="I204" s="1">
        <f t="shared" si="14"/>
        <v>6399814.321299294</v>
      </c>
      <c r="J204" s="1">
        <f t="shared" si="15"/>
        <v>6892107.7306300085</v>
      </c>
      <c r="K204" s="1">
        <f t="shared" si="15"/>
        <v>7384401.1399607239</v>
      </c>
    </row>
    <row r="205" spans="1:11" x14ac:dyDescent="0.25">
      <c r="A205" t="s">
        <v>151</v>
      </c>
      <c r="B205" t="s">
        <v>213</v>
      </c>
      <c r="C205" t="s">
        <v>223</v>
      </c>
      <c r="D205" s="1">
        <v>5550525</v>
      </c>
      <c r="E205" s="1">
        <f t="shared" si="13"/>
        <v>6058575.6872735461</v>
      </c>
      <c r="F205" s="1">
        <f t="shared" si="14"/>
        <v>6924086.4997411948</v>
      </c>
      <c r="G205" s="1">
        <f t="shared" si="14"/>
        <v>7616495.1497153137</v>
      </c>
      <c r="H205" s="1">
        <f t="shared" si="14"/>
        <v>8308903.7996894335</v>
      </c>
      <c r="I205" s="1">
        <f t="shared" si="14"/>
        <v>9001312.4496635534</v>
      </c>
      <c r="J205" s="1">
        <f t="shared" si="15"/>
        <v>9693721.0996376723</v>
      </c>
      <c r="K205" s="1">
        <f t="shared" si="15"/>
        <v>10386129.749611793</v>
      </c>
    </row>
    <row r="206" spans="1:11" x14ac:dyDescent="0.25">
      <c r="A206" t="s">
        <v>151</v>
      </c>
      <c r="B206" t="s">
        <v>213</v>
      </c>
      <c r="C206" t="s">
        <v>224</v>
      </c>
      <c r="D206" s="1">
        <v>4644556</v>
      </c>
      <c r="E206" s="1">
        <f t="shared" si="13"/>
        <v>5069681.5273835305</v>
      </c>
      <c r="F206" s="1">
        <f t="shared" si="14"/>
        <v>5793921.745581178</v>
      </c>
      <c r="G206" s="1">
        <f t="shared" si="14"/>
        <v>6373313.920139295</v>
      </c>
      <c r="H206" s="1">
        <f t="shared" si="14"/>
        <v>6952706.094697413</v>
      </c>
      <c r="I206" s="1">
        <f t="shared" si="14"/>
        <v>7532098.269255531</v>
      </c>
      <c r="J206" s="1">
        <f t="shared" si="15"/>
        <v>8111490.4438136481</v>
      </c>
      <c r="K206" s="1">
        <f t="shared" si="15"/>
        <v>8690882.6183717661</v>
      </c>
    </row>
    <row r="207" spans="1:11" x14ac:dyDescent="0.25">
      <c r="A207" t="s">
        <v>151</v>
      </c>
      <c r="B207" t="s">
        <v>213</v>
      </c>
      <c r="C207" t="s">
        <v>225</v>
      </c>
      <c r="D207" s="1">
        <v>6369159</v>
      </c>
      <c r="E207" s="1">
        <f t="shared" si="13"/>
        <v>6952140.8994247373</v>
      </c>
      <c r="F207" s="1">
        <f t="shared" si="14"/>
        <v>7945303.8850568421</v>
      </c>
      <c r="G207" s="1">
        <f t="shared" si="14"/>
        <v>8739834.2735625263</v>
      </c>
      <c r="H207" s="1">
        <f t="shared" si="14"/>
        <v>9534364.6620682105</v>
      </c>
      <c r="I207" s="1">
        <f t="shared" si="14"/>
        <v>10328895.050573895</v>
      </c>
      <c r="J207" s="1">
        <f t="shared" si="15"/>
        <v>11123425.439079579</v>
      </c>
      <c r="K207" s="1">
        <f t="shared" si="15"/>
        <v>11917955.827585263</v>
      </c>
    </row>
    <row r="208" spans="1:11" x14ac:dyDescent="0.25">
      <c r="A208" t="s">
        <v>151</v>
      </c>
      <c r="B208" t="s">
        <v>213</v>
      </c>
      <c r="C208" t="s">
        <v>226</v>
      </c>
      <c r="D208" s="1">
        <v>8727927</v>
      </c>
      <c r="E208" s="1">
        <f t="shared" si="13"/>
        <v>9526811.6660132762</v>
      </c>
      <c r="F208" s="1">
        <f t="shared" si="14"/>
        <v>10887784.761158029</v>
      </c>
      <c r="G208" s="1">
        <f t="shared" si="14"/>
        <v>11976563.237273831</v>
      </c>
      <c r="H208" s="1">
        <f t="shared" si="14"/>
        <v>13065341.713389635</v>
      </c>
      <c r="I208" s="1">
        <f t="shared" si="14"/>
        <v>14154120.189505437</v>
      </c>
      <c r="J208" s="1">
        <f t="shared" si="15"/>
        <v>15242898.66562124</v>
      </c>
      <c r="K208" s="1">
        <f t="shared" si="15"/>
        <v>16331677.141737044</v>
      </c>
    </row>
    <row r="209" spans="1:11" x14ac:dyDescent="0.25">
      <c r="A209" t="s">
        <v>151</v>
      </c>
      <c r="B209" t="s">
        <v>213</v>
      </c>
      <c r="C209" t="s">
        <v>227</v>
      </c>
      <c r="D209" s="1">
        <v>5372253</v>
      </c>
      <c r="E209" s="1">
        <f t="shared" si="13"/>
        <v>5863986.0935105002</v>
      </c>
      <c r="F209" s="1">
        <f t="shared" si="14"/>
        <v>6701698.3925834289</v>
      </c>
      <c r="G209" s="1">
        <f t="shared" si="14"/>
        <v>7371868.2318417709</v>
      </c>
      <c r="H209" s="1">
        <f t="shared" si="14"/>
        <v>8042038.0711001139</v>
      </c>
      <c r="I209" s="1">
        <f t="shared" si="14"/>
        <v>8712207.9103584569</v>
      </c>
      <c r="J209" s="1">
        <f t="shared" si="15"/>
        <v>9382377.7496167999</v>
      </c>
      <c r="K209" s="1">
        <f t="shared" si="15"/>
        <v>10052547.588875143</v>
      </c>
    </row>
    <row r="210" spans="1:11" x14ac:dyDescent="0.25">
      <c r="A210" t="s">
        <v>151</v>
      </c>
      <c r="B210" t="s">
        <v>213</v>
      </c>
      <c r="C210" t="s">
        <v>228</v>
      </c>
      <c r="D210" s="1">
        <v>2925549</v>
      </c>
      <c r="E210" s="1">
        <f t="shared" si="13"/>
        <v>3193330.3684475678</v>
      </c>
      <c r="F210" s="1">
        <f t="shared" si="14"/>
        <v>3649520.4210829344</v>
      </c>
      <c r="G210" s="1">
        <f t="shared" si="14"/>
        <v>4014472.4631912271</v>
      </c>
      <c r="H210" s="1">
        <f t="shared" si="14"/>
        <v>4379424.5052995207</v>
      </c>
      <c r="I210" s="1">
        <f t="shared" si="14"/>
        <v>4744376.5474078143</v>
      </c>
      <c r="J210" s="1">
        <f t="shared" si="15"/>
        <v>5109328.5895161079</v>
      </c>
      <c r="K210" s="1">
        <f t="shared" si="15"/>
        <v>5474280.6316244015</v>
      </c>
    </row>
    <row r="211" spans="1:11" x14ac:dyDescent="0.25">
      <c r="A211" t="s">
        <v>229</v>
      </c>
      <c r="B211" t="s">
        <v>230</v>
      </c>
      <c r="C211" t="s">
        <v>231</v>
      </c>
      <c r="D211" s="1">
        <v>3565002</v>
      </c>
      <c r="E211" s="1">
        <f t="shared" si="13"/>
        <v>3891313.7842423134</v>
      </c>
      <c r="F211" s="1">
        <f t="shared" si="14"/>
        <v>4447215.7534197867</v>
      </c>
      <c r="G211" s="1">
        <f t="shared" si="14"/>
        <v>4891937.3287617648</v>
      </c>
      <c r="H211" s="1">
        <f t="shared" si="14"/>
        <v>5336658.9041037438</v>
      </c>
      <c r="I211" s="1">
        <f t="shared" si="14"/>
        <v>5781380.479445722</v>
      </c>
      <c r="J211" s="1">
        <f t="shared" si="15"/>
        <v>6226102.0547877001</v>
      </c>
      <c r="K211" s="1">
        <f t="shared" si="15"/>
        <v>6670823.6301296791</v>
      </c>
    </row>
    <row r="212" spans="1:11" x14ac:dyDescent="0.25">
      <c r="A212" t="s">
        <v>229</v>
      </c>
      <c r="B212" t="s">
        <v>230</v>
      </c>
      <c r="C212" t="s">
        <v>232</v>
      </c>
      <c r="D212" s="1">
        <v>5865655</v>
      </c>
      <c r="E212" s="1">
        <f t="shared" si="13"/>
        <v>6402550.1683056131</v>
      </c>
      <c r="F212" s="1">
        <f t="shared" si="14"/>
        <v>7317200.1923492718</v>
      </c>
      <c r="G212" s="1">
        <f t="shared" si="14"/>
        <v>8048920.2115841974</v>
      </c>
      <c r="H212" s="1">
        <f t="shared" si="14"/>
        <v>8780640.2308191247</v>
      </c>
      <c r="I212" s="1">
        <f t="shared" si="14"/>
        <v>9512360.2500540521</v>
      </c>
      <c r="J212" s="1">
        <f t="shared" si="15"/>
        <v>10244080.269288979</v>
      </c>
      <c r="K212" s="1">
        <f t="shared" si="15"/>
        <v>10975800.288523907</v>
      </c>
    </row>
    <row r="213" spans="1:11" x14ac:dyDescent="0.25">
      <c r="A213" t="s">
        <v>229</v>
      </c>
      <c r="B213" t="s">
        <v>230</v>
      </c>
      <c r="C213" t="s">
        <v>233</v>
      </c>
      <c r="D213" s="1">
        <v>4987551</v>
      </c>
      <c r="E213" s="1">
        <f t="shared" si="13"/>
        <v>5444071.5477611329</v>
      </c>
      <c r="F213" s="1">
        <f t="shared" si="14"/>
        <v>6221796.0545841511</v>
      </c>
      <c r="G213" s="1">
        <f t="shared" si="14"/>
        <v>6843975.6600425662</v>
      </c>
      <c r="H213" s="1">
        <f t="shared" si="14"/>
        <v>7466155.2655009814</v>
      </c>
      <c r="I213" s="1">
        <f t="shared" si="14"/>
        <v>8088334.8709593965</v>
      </c>
      <c r="J213" s="1">
        <f t="shared" si="15"/>
        <v>8710514.4764178116</v>
      </c>
      <c r="K213" s="1">
        <f t="shared" si="15"/>
        <v>9332694.0818762276</v>
      </c>
    </row>
    <row r="214" spans="1:11" x14ac:dyDescent="0.25">
      <c r="A214" t="s">
        <v>229</v>
      </c>
      <c r="B214" t="s">
        <v>230</v>
      </c>
      <c r="C214" t="s">
        <v>234</v>
      </c>
      <c r="D214" s="1">
        <v>14034926</v>
      </c>
      <c r="E214" s="1">
        <f t="shared" si="13"/>
        <v>15319570.930008126</v>
      </c>
      <c r="F214" s="1">
        <f t="shared" si="14"/>
        <v>17508081.062866431</v>
      </c>
      <c r="G214" s="1">
        <f t="shared" si="14"/>
        <v>19258889.169153072</v>
      </c>
      <c r="H214" s="1">
        <f t="shared" si="14"/>
        <v>21009697.275439717</v>
      </c>
      <c r="I214" s="1">
        <f t="shared" si="14"/>
        <v>22760505.381726358</v>
      </c>
      <c r="J214" s="1">
        <f t="shared" si="15"/>
        <v>24511313.488012999</v>
      </c>
      <c r="K214" s="1">
        <f t="shared" si="15"/>
        <v>26262121.594299644</v>
      </c>
    </row>
    <row r="215" spans="1:11" x14ac:dyDescent="0.25">
      <c r="A215" t="s">
        <v>229</v>
      </c>
      <c r="B215" t="s">
        <v>230</v>
      </c>
      <c r="C215" t="s">
        <v>235</v>
      </c>
      <c r="D215" s="1">
        <v>6626125</v>
      </c>
      <c r="E215" s="1">
        <f t="shared" si="13"/>
        <v>7232627.5128632737</v>
      </c>
      <c r="F215" s="1">
        <f t="shared" si="14"/>
        <v>8265860.0147008849</v>
      </c>
      <c r="G215" s="1">
        <f t="shared" si="14"/>
        <v>9092446.0161709711</v>
      </c>
      <c r="H215" s="1">
        <f t="shared" si="14"/>
        <v>9919032.0176410601</v>
      </c>
      <c r="I215" s="1">
        <f t="shared" si="14"/>
        <v>10745618.019111149</v>
      </c>
      <c r="J215" s="1">
        <f t="shared" si="15"/>
        <v>11572204.020581238</v>
      </c>
      <c r="K215" s="1">
        <f t="shared" si="15"/>
        <v>12398790.022051327</v>
      </c>
    </row>
    <row r="216" spans="1:11" x14ac:dyDescent="0.25">
      <c r="A216" t="s">
        <v>229</v>
      </c>
      <c r="B216" t="s">
        <v>230</v>
      </c>
      <c r="C216" t="s">
        <v>236</v>
      </c>
      <c r="D216" s="1">
        <v>7521499</v>
      </c>
      <c r="E216" s="1">
        <f t="shared" si="13"/>
        <v>8209956.8911503488</v>
      </c>
      <c r="F216" s="1">
        <f t="shared" si="14"/>
        <v>9382807.8756003976</v>
      </c>
      <c r="G216" s="1">
        <f t="shared" si="14"/>
        <v>10321088.663160438</v>
      </c>
      <c r="H216" s="1">
        <f t="shared" si="14"/>
        <v>11259369.450720478</v>
      </c>
      <c r="I216" s="1">
        <f t="shared" si="14"/>
        <v>12197650.238280518</v>
      </c>
      <c r="J216" s="1">
        <f t="shared" si="15"/>
        <v>13135931.025840556</v>
      </c>
      <c r="K216" s="1">
        <f t="shared" si="15"/>
        <v>14074211.813400596</v>
      </c>
    </row>
    <row r="217" spans="1:11" x14ac:dyDescent="0.25">
      <c r="A217" t="s">
        <v>229</v>
      </c>
      <c r="B217" t="s">
        <v>230</v>
      </c>
      <c r="C217" t="s">
        <v>237</v>
      </c>
      <c r="D217" s="1">
        <v>11591352</v>
      </c>
      <c r="E217" s="1">
        <f t="shared" si="13"/>
        <v>12652331.700123789</v>
      </c>
      <c r="F217" s="1">
        <f t="shared" si="14"/>
        <v>14459807.657284329</v>
      </c>
      <c r="G217" s="1">
        <f t="shared" si="14"/>
        <v>15905788.423012761</v>
      </c>
      <c r="H217" s="1">
        <f t="shared" si="14"/>
        <v>17351769.188741196</v>
      </c>
      <c r="I217" s="1">
        <f t="shared" si="14"/>
        <v>18797749.954469629</v>
      </c>
      <c r="J217" s="1">
        <f t="shared" si="15"/>
        <v>20243730.720198058</v>
      </c>
      <c r="K217" s="1">
        <f t="shared" si="15"/>
        <v>21689711.485926494</v>
      </c>
    </row>
    <row r="218" spans="1:11" x14ac:dyDescent="0.25">
      <c r="A218" t="s">
        <v>229</v>
      </c>
      <c r="B218" t="s">
        <v>230</v>
      </c>
      <c r="C218" t="s">
        <v>238</v>
      </c>
      <c r="D218" s="1">
        <v>3210430</v>
      </c>
      <c r="E218" s="1">
        <f t="shared" si="13"/>
        <v>3504287.0978319366</v>
      </c>
      <c r="F218" s="1">
        <f t="shared" si="14"/>
        <v>4004899.5403793561</v>
      </c>
      <c r="G218" s="1">
        <f t="shared" si="14"/>
        <v>4405389.4944172911</v>
      </c>
      <c r="H218" s="1">
        <f t="shared" si="14"/>
        <v>4805879.4484552266</v>
      </c>
      <c r="I218" s="1">
        <f t="shared" si="14"/>
        <v>5206369.402493163</v>
      </c>
      <c r="J218" s="1">
        <f t="shared" si="15"/>
        <v>5606859.3565310976</v>
      </c>
      <c r="K218" s="1">
        <f t="shared" si="15"/>
        <v>6007349.310569034</v>
      </c>
    </row>
    <row r="219" spans="1:11" x14ac:dyDescent="0.25">
      <c r="A219" t="s">
        <v>229</v>
      </c>
      <c r="B219" t="s">
        <v>230</v>
      </c>
      <c r="C219" t="s">
        <v>239</v>
      </c>
      <c r="D219" s="1">
        <v>4647767</v>
      </c>
      <c r="E219" s="1">
        <f t="shared" si="13"/>
        <v>5073186.4366546059</v>
      </c>
      <c r="F219" s="1">
        <f t="shared" si="14"/>
        <v>5797927.3561766921</v>
      </c>
      <c r="G219" s="1">
        <f t="shared" si="14"/>
        <v>6377720.0917943614</v>
      </c>
      <c r="H219" s="1">
        <f t="shared" si="14"/>
        <v>6957512.8274120307</v>
      </c>
      <c r="I219" s="1">
        <f t="shared" si="14"/>
        <v>7537305.5630297</v>
      </c>
      <c r="J219" s="1">
        <f t="shared" si="15"/>
        <v>8117098.2986473683</v>
      </c>
      <c r="K219" s="1">
        <f t="shared" si="15"/>
        <v>8696891.0342650376</v>
      </c>
    </row>
    <row r="220" spans="1:11" x14ac:dyDescent="0.25">
      <c r="A220" t="s">
        <v>229</v>
      </c>
      <c r="B220" t="s">
        <v>230</v>
      </c>
      <c r="C220" t="s">
        <v>240</v>
      </c>
      <c r="D220" s="1">
        <v>4133021</v>
      </c>
      <c r="E220" s="1">
        <f t="shared" si="13"/>
        <v>4511324.7027246971</v>
      </c>
      <c r="F220" s="1">
        <f t="shared" si="14"/>
        <v>5155799.6602567965</v>
      </c>
      <c r="G220" s="1">
        <f t="shared" si="14"/>
        <v>5671379.626282475</v>
      </c>
      <c r="H220" s="1">
        <f t="shared" si="14"/>
        <v>6186959.5923081553</v>
      </c>
      <c r="I220" s="1">
        <f t="shared" si="14"/>
        <v>6702539.5583338356</v>
      </c>
      <c r="J220" s="1">
        <f t="shared" si="15"/>
        <v>7218119.524359514</v>
      </c>
      <c r="K220" s="1">
        <f t="shared" si="15"/>
        <v>7733699.4903851943</v>
      </c>
    </row>
    <row r="221" spans="1:11" x14ac:dyDescent="0.25">
      <c r="A221" t="s">
        <v>229</v>
      </c>
      <c r="B221" t="s">
        <v>230</v>
      </c>
      <c r="C221" t="s">
        <v>241</v>
      </c>
      <c r="D221" s="1">
        <v>4796760</v>
      </c>
      <c r="E221" s="1">
        <f t="shared" si="13"/>
        <v>5235817.0648157168</v>
      </c>
      <c r="F221" s="1">
        <f t="shared" si="14"/>
        <v>5983790.931217961</v>
      </c>
      <c r="G221" s="1">
        <f t="shared" si="14"/>
        <v>6582170.0243397569</v>
      </c>
      <c r="H221" s="1">
        <f t="shared" si="14"/>
        <v>7180549.1174615538</v>
      </c>
      <c r="I221" s="1">
        <f t="shared" si="14"/>
        <v>7778928.2105833497</v>
      </c>
      <c r="J221" s="1">
        <f t="shared" si="15"/>
        <v>8377307.3037051456</v>
      </c>
      <c r="K221" s="1">
        <f t="shared" si="15"/>
        <v>8975686.3968269415</v>
      </c>
    </row>
    <row r="222" spans="1:11" x14ac:dyDescent="0.25">
      <c r="A222" t="s">
        <v>229</v>
      </c>
      <c r="B222" t="s">
        <v>230</v>
      </c>
      <c r="C222" t="s">
        <v>242</v>
      </c>
      <c r="D222" s="1">
        <v>3887622</v>
      </c>
      <c r="E222" s="1">
        <f t="shared" si="13"/>
        <v>4243463.8399988757</v>
      </c>
      <c r="F222" s="1">
        <f t="shared" si="14"/>
        <v>4849672.9599987147</v>
      </c>
      <c r="G222" s="1">
        <f t="shared" si="14"/>
        <v>5334640.2559985854</v>
      </c>
      <c r="H222" s="1">
        <f t="shared" si="14"/>
        <v>5819607.5519984569</v>
      </c>
      <c r="I222" s="1">
        <f t="shared" si="14"/>
        <v>6304574.8479983285</v>
      </c>
      <c r="J222" s="1">
        <f t="shared" si="15"/>
        <v>6789542.1439981991</v>
      </c>
      <c r="K222" s="1">
        <f t="shared" si="15"/>
        <v>7274509.4399980716</v>
      </c>
    </row>
    <row r="223" spans="1:11" x14ac:dyDescent="0.25">
      <c r="A223" t="s">
        <v>229</v>
      </c>
      <c r="B223" t="s">
        <v>230</v>
      </c>
      <c r="C223" t="s">
        <v>243</v>
      </c>
      <c r="D223" s="1">
        <v>3640417</v>
      </c>
      <c r="E223" s="1">
        <f t="shared" si="13"/>
        <v>3973631.6704703248</v>
      </c>
      <c r="F223" s="1">
        <f t="shared" si="14"/>
        <v>4541293.3376803715</v>
      </c>
      <c r="G223" s="1">
        <f t="shared" si="14"/>
        <v>4995422.6714484077</v>
      </c>
      <c r="H223" s="1">
        <f t="shared" si="14"/>
        <v>5449552.0052164448</v>
      </c>
      <c r="I223" s="1">
        <f t="shared" si="14"/>
        <v>5903681.3389844829</v>
      </c>
      <c r="J223" s="1">
        <f t="shared" si="15"/>
        <v>6357810.6727525191</v>
      </c>
      <c r="K223" s="1">
        <f t="shared" si="15"/>
        <v>6811940.0065205563</v>
      </c>
    </row>
    <row r="224" spans="1:11" x14ac:dyDescent="0.25">
      <c r="A224" t="s">
        <v>229</v>
      </c>
      <c r="B224" t="s">
        <v>230</v>
      </c>
      <c r="C224" t="s">
        <v>244</v>
      </c>
      <c r="D224" s="1">
        <v>17376498</v>
      </c>
      <c r="E224" s="1">
        <f t="shared" si="13"/>
        <v>18967003.718163129</v>
      </c>
      <c r="F224" s="1">
        <f t="shared" si="14"/>
        <v>21676575.677900717</v>
      </c>
      <c r="G224" s="1">
        <f t="shared" si="14"/>
        <v>23844233.245690785</v>
      </c>
      <c r="H224" s="1">
        <f t="shared" si="14"/>
        <v>26011890.813480858</v>
      </c>
      <c r="I224" s="1">
        <f t="shared" si="14"/>
        <v>28179548.381270934</v>
      </c>
      <c r="J224" s="1">
        <f t="shared" si="15"/>
        <v>30347205.949061003</v>
      </c>
      <c r="K224" s="1">
        <f t="shared" si="15"/>
        <v>32514863.516851075</v>
      </c>
    </row>
    <row r="225" spans="1:11" x14ac:dyDescent="0.25">
      <c r="A225" t="s">
        <v>229</v>
      </c>
      <c r="B225" t="s">
        <v>245</v>
      </c>
      <c r="C225" t="s">
        <v>246</v>
      </c>
      <c r="D225" s="1">
        <v>2208258</v>
      </c>
      <c r="E225" s="1">
        <f t="shared" si="13"/>
        <v>2410384.2843744163</v>
      </c>
      <c r="F225" s="1">
        <f t="shared" si="14"/>
        <v>2754724.8964279043</v>
      </c>
      <c r="G225" s="1">
        <f t="shared" si="14"/>
        <v>3030197.3860706943</v>
      </c>
      <c r="H225" s="1">
        <f t="shared" si="14"/>
        <v>3305669.8757134848</v>
      </c>
      <c r="I225" s="1">
        <f t="shared" si="14"/>
        <v>3581142.3653562753</v>
      </c>
      <c r="J225" s="1">
        <f t="shared" si="15"/>
        <v>3856614.8549990654</v>
      </c>
      <c r="K225" s="1">
        <f t="shared" si="15"/>
        <v>4132087.3446418559</v>
      </c>
    </row>
    <row r="226" spans="1:11" x14ac:dyDescent="0.25">
      <c r="A226" t="s">
        <v>229</v>
      </c>
      <c r="B226" t="s">
        <v>245</v>
      </c>
      <c r="C226" t="s">
        <v>247</v>
      </c>
      <c r="D226" s="1">
        <v>3215789</v>
      </c>
      <c r="E226" s="1">
        <f t="shared" si="13"/>
        <v>3510136.6178517723</v>
      </c>
      <c r="F226" s="1">
        <f t="shared" si="14"/>
        <v>4011584.7061163113</v>
      </c>
      <c r="G226" s="1">
        <f t="shared" si="14"/>
        <v>4412743.1767279422</v>
      </c>
      <c r="H226" s="1">
        <f t="shared" si="14"/>
        <v>4813901.6473395731</v>
      </c>
      <c r="I226" s="1">
        <f t="shared" si="14"/>
        <v>5215060.1179512041</v>
      </c>
      <c r="J226" s="1">
        <f t="shared" si="15"/>
        <v>5616218.588562835</v>
      </c>
      <c r="K226" s="1">
        <f t="shared" si="15"/>
        <v>6017377.0591744669</v>
      </c>
    </row>
    <row r="227" spans="1:11" x14ac:dyDescent="0.25">
      <c r="A227" t="s">
        <v>229</v>
      </c>
      <c r="B227" t="s">
        <v>245</v>
      </c>
      <c r="C227" t="s">
        <v>248</v>
      </c>
      <c r="D227" s="1">
        <v>1700000</v>
      </c>
      <c r="E227" s="1">
        <f t="shared" si="13"/>
        <v>1855604.4100990498</v>
      </c>
      <c r="F227" s="1">
        <f t="shared" si="14"/>
        <v>2120690.7543989141</v>
      </c>
      <c r="G227" s="1">
        <f t="shared" si="14"/>
        <v>2332759.8298388049</v>
      </c>
      <c r="H227" s="1">
        <f t="shared" si="14"/>
        <v>2544828.9052786967</v>
      </c>
      <c r="I227" s="1">
        <f t="shared" si="14"/>
        <v>2756897.980718588</v>
      </c>
      <c r="J227" s="1">
        <f t="shared" si="15"/>
        <v>2968967.0561584793</v>
      </c>
      <c r="K227" s="1">
        <f t="shared" si="15"/>
        <v>3181036.1315983706</v>
      </c>
    </row>
    <row r="228" spans="1:11" x14ac:dyDescent="0.25">
      <c r="A228" t="s">
        <v>229</v>
      </c>
      <c r="B228" t="s">
        <v>245</v>
      </c>
      <c r="C228" t="s">
        <v>249</v>
      </c>
      <c r="D228" s="1">
        <v>4578412</v>
      </c>
      <c r="E228" s="1">
        <f t="shared" si="13"/>
        <v>4997483.234382594</v>
      </c>
      <c r="F228" s="1">
        <f t="shared" si="14"/>
        <v>5711409.4107229654</v>
      </c>
      <c r="G228" s="1">
        <f t="shared" si="14"/>
        <v>6282550.3517952608</v>
      </c>
      <c r="H228" s="1">
        <f t="shared" si="14"/>
        <v>6853691.2928675571</v>
      </c>
      <c r="I228" s="1">
        <f t="shared" si="14"/>
        <v>7424832.2339398544</v>
      </c>
      <c r="J228" s="1">
        <f t="shared" si="15"/>
        <v>7995973.1750121498</v>
      </c>
      <c r="K228" s="1">
        <f t="shared" si="15"/>
        <v>8567114.1160844471</v>
      </c>
    </row>
    <row r="229" spans="1:11" x14ac:dyDescent="0.25">
      <c r="A229" t="s">
        <v>229</v>
      </c>
      <c r="B229" t="s">
        <v>245</v>
      </c>
      <c r="C229" t="s">
        <v>250</v>
      </c>
      <c r="D229" s="1">
        <v>3041696</v>
      </c>
      <c r="E229" s="1">
        <f t="shared" si="13"/>
        <v>3320108.5363415526</v>
      </c>
      <c r="F229" s="1">
        <f t="shared" si="14"/>
        <v>3794409.755818917</v>
      </c>
      <c r="G229" s="1">
        <f t="shared" si="14"/>
        <v>4173850.7314008083</v>
      </c>
      <c r="H229" s="1">
        <f t="shared" si="14"/>
        <v>4553291.7069827002</v>
      </c>
      <c r="I229" s="1">
        <f t="shared" si="14"/>
        <v>4932732.682564592</v>
      </c>
      <c r="J229" s="1">
        <f t="shared" si="15"/>
        <v>5312173.6581464829</v>
      </c>
      <c r="K229" s="1">
        <f t="shared" si="15"/>
        <v>5691614.6337283757</v>
      </c>
    </row>
    <row r="230" spans="1:11" x14ac:dyDescent="0.25">
      <c r="A230" t="s">
        <v>229</v>
      </c>
      <c r="B230" t="s">
        <v>245</v>
      </c>
      <c r="C230" t="s">
        <v>251</v>
      </c>
      <c r="D230" s="1">
        <v>7613427</v>
      </c>
      <c r="E230" s="1">
        <f t="shared" si="13"/>
        <v>8310299.2453924576</v>
      </c>
      <c r="F230" s="1">
        <f t="shared" si="14"/>
        <v>9497484.8518770933</v>
      </c>
      <c r="G230" s="1">
        <f t="shared" si="14"/>
        <v>10447233.337064803</v>
      </c>
      <c r="H230" s="1">
        <f t="shared" si="14"/>
        <v>11396981.822252512</v>
      </c>
      <c r="I230" s="1">
        <f t="shared" si="14"/>
        <v>12346730.307440223</v>
      </c>
      <c r="J230" s="1">
        <f t="shared" si="15"/>
        <v>13296478.792627931</v>
      </c>
      <c r="K230" s="1">
        <f t="shared" si="15"/>
        <v>14246227.27781564</v>
      </c>
    </row>
    <row r="231" spans="1:11" x14ac:dyDescent="0.25">
      <c r="A231" t="s">
        <v>229</v>
      </c>
      <c r="B231" t="s">
        <v>245</v>
      </c>
      <c r="C231" t="s">
        <v>252</v>
      </c>
      <c r="D231" s="1">
        <v>8818366</v>
      </c>
      <c r="E231" s="1">
        <f t="shared" si="13"/>
        <v>9625528.7290985398</v>
      </c>
      <c r="F231" s="1">
        <f t="shared" si="14"/>
        <v>11000604.261826903</v>
      </c>
      <c r="G231" s="1">
        <f t="shared" si="14"/>
        <v>12100664.68800959</v>
      </c>
      <c r="H231" s="1">
        <f t="shared" si="14"/>
        <v>13200725.114192281</v>
      </c>
      <c r="I231" s="1">
        <f t="shared" si="14"/>
        <v>14300785.540374972</v>
      </c>
      <c r="J231" s="1">
        <f t="shared" si="15"/>
        <v>15400845.966557661</v>
      </c>
      <c r="K231" s="1">
        <f t="shared" si="15"/>
        <v>16500906.392740352</v>
      </c>
    </row>
    <row r="232" spans="1:11" x14ac:dyDescent="0.25">
      <c r="A232" t="s">
        <v>229</v>
      </c>
      <c r="B232" t="s">
        <v>245</v>
      </c>
      <c r="C232" t="s">
        <v>253</v>
      </c>
      <c r="D232" s="1">
        <v>4266395</v>
      </c>
      <c r="E232" s="1">
        <f t="shared" si="13"/>
        <v>4656906.6924850205</v>
      </c>
      <c r="F232" s="1">
        <f t="shared" si="14"/>
        <v>5322179.0771257384</v>
      </c>
      <c r="G232" s="1">
        <f t="shared" si="14"/>
        <v>5854396.9848383106</v>
      </c>
      <c r="H232" s="1">
        <f t="shared" si="14"/>
        <v>6386614.8925508847</v>
      </c>
      <c r="I232" s="1">
        <f t="shared" si="14"/>
        <v>6918832.8002634589</v>
      </c>
      <c r="J232" s="1">
        <f t="shared" si="15"/>
        <v>7451050.707976032</v>
      </c>
      <c r="K232" s="1">
        <f t="shared" si="15"/>
        <v>7983268.6156886062</v>
      </c>
    </row>
    <row r="233" spans="1:11" x14ac:dyDescent="0.25">
      <c r="A233" t="s">
        <v>229</v>
      </c>
      <c r="B233" t="s">
        <v>245</v>
      </c>
      <c r="C233" t="s">
        <v>254</v>
      </c>
      <c r="D233" s="1">
        <v>2736262</v>
      </c>
      <c r="E233" s="1">
        <f t="shared" si="13"/>
        <v>2986717.5496390858</v>
      </c>
      <c r="F233" s="1">
        <f t="shared" si="14"/>
        <v>3413391.4853018122</v>
      </c>
      <c r="G233" s="1">
        <f t="shared" si="14"/>
        <v>3754730.6338319932</v>
      </c>
      <c r="H233" s="1">
        <f t="shared" si="14"/>
        <v>4096069.7823621747</v>
      </c>
      <c r="I233" s="1">
        <f t="shared" si="14"/>
        <v>4437408.9308923557</v>
      </c>
      <c r="J233" s="1">
        <f t="shared" si="15"/>
        <v>4778748.0794225372</v>
      </c>
      <c r="K233" s="1">
        <f t="shared" si="15"/>
        <v>5120087.2279527187</v>
      </c>
    </row>
    <row r="234" spans="1:11" x14ac:dyDescent="0.25">
      <c r="A234" t="s">
        <v>229</v>
      </c>
      <c r="B234" t="s">
        <v>245</v>
      </c>
      <c r="C234" t="s">
        <v>255</v>
      </c>
      <c r="D234" s="1">
        <v>2087219</v>
      </c>
      <c r="E234" s="1">
        <f t="shared" si="13"/>
        <v>2278266.3419073699</v>
      </c>
      <c r="F234" s="1">
        <f t="shared" si="14"/>
        <v>2603732.9621798513</v>
      </c>
      <c r="G234" s="1">
        <f t="shared" si="14"/>
        <v>2864106.2583978358</v>
      </c>
      <c r="H234" s="1">
        <f t="shared" si="14"/>
        <v>3124479.5546158212</v>
      </c>
      <c r="I234" s="1">
        <f t="shared" si="14"/>
        <v>3384852.8508338062</v>
      </c>
      <c r="J234" s="1">
        <f t="shared" si="15"/>
        <v>3645226.1470517912</v>
      </c>
      <c r="K234" s="1">
        <f t="shared" si="15"/>
        <v>3905599.4432697762</v>
      </c>
    </row>
    <row r="235" spans="1:11" x14ac:dyDescent="0.25">
      <c r="A235" t="s">
        <v>229</v>
      </c>
      <c r="B235" t="s">
        <v>245</v>
      </c>
      <c r="C235" t="s">
        <v>256</v>
      </c>
      <c r="D235" s="1">
        <v>3465265</v>
      </c>
      <c r="E235" s="1">
        <f t="shared" si="13"/>
        <v>3782447.6565658138</v>
      </c>
      <c r="F235" s="1">
        <f t="shared" si="14"/>
        <v>4322797.3217895012</v>
      </c>
      <c r="G235" s="1">
        <f t="shared" si="14"/>
        <v>4755077.053968451</v>
      </c>
      <c r="H235" s="1">
        <f t="shared" si="14"/>
        <v>5187356.7861474017</v>
      </c>
      <c r="I235" s="1">
        <f t="shared" si="14"/>
        <v>5619636.5183263514</v>
      </c>
      <c r="J235" s="1">
        <f t="shared" si="15"/>
        <v>6051916.2505053012</v>
      </c>
      <c r="K235" s="1">
        <f t="shared" si="15"/>
        <v>6484195.9826842519</v>
      </c>
    </row>
    <row r="236" spans="1:11" x14ac:dyDescent="0.25">
      <c r="A236" t="s">
        <v>229</v>
      </c>
      <c r="B236" t="s">
        <v>245</v>
      </c>
      <c r="C236" t="s">
        <v>257</v>
      </c>
      <c r="D236" s="1">
        <v>3643791</v>
      </c>
      <c r="E236" s="1">
        <f t="shared" si="13"/>
        <v>3977314.4994583684</v>
      </c>
      <c r="F236" s="1">
        <f t="shared" si="14"/>
        <v>4545502.2850952782</v>
      </c>
      <c r="G236" s="1">
        <f t="shared" si="14"/>
        <v>5000052.5136048058</v>
      </c>
      <c r="H236" s="1">
        <f t="shared" si="14"/>
        <v>5454602.7421143334</v>
      </c>
      <c r="I236" s="1">
        <f t="shared" si="14"/>
        <v>5909152.970623862</v>
      </c>
      <c r="J236" s="1">
        <f t="shared" si="15"/>
        <v>6363703.1991333887</v>
      </c>
      <c r="K236" s="1">
        <f t="shared" si="15"/>
        <v>6818253.4276429173</v>
      </c>
    </row>
    <row r="237" spans="1:11" x14ac:dyDescent="0.25">
      <c r="A237" t="s">
        <v>229</v>
      </c>
      <c r="B237" t="s">
        <v>245</v>
      </c>
      <c r="C237" t="s">
        <v>258</v>
      </c>
      <c r="D237" s="1">
        <v>2477563</v>
      </c>
      <c r="E237" s="1">
        <f t="shared" si="13"/>
        <v>2704339.3112342539</v>
      </c>
      <c r="F237" s="1">
        <f t="shared" si="14"/>
        <v>3090673.498553433</v>
      </c>
      <c r="G237" s="1">
        <f t="shared" si="14"/>
        <v>3399740.8484087763</v>
      </c>
      <c r="H237" s="1">
        <f t="shared" si="14"/>
        <v>3708808.1982641197</v>
      </c>
      <c r="I237" s="1">
        <f t="shared" si="14"/>
        <v>4017875.548119463</v>
      </c>
      <c r="J237" s="1">
        <f t="shared" si="15"/>
        <v>4326942.8979748059</v>
      </c>
      <c r="K237" s="1">
        <f t="shared" si="15"/>
        <v>4636010.2478301497</v>
      </c>
    </row>
    <row r="238" spans="1:11" x14ac:dyDescent="0.25">
      <c r="A238" t="s">
        <v>229</v>
      </c>
      <c r="B238" t="s">
        <v>245</v>
      </c>
      <c r="C238" t="s">
        <v>259</v>
      </c>
      <c r="D238" s="1">
        <v>2435820</v>
      </c>
      <c r="E238" s="1">
        <f t="shared" si="13"/>
        <v>2658775.4907102748</v>
      </c>
      <c r="F238" s="1">
        <f t="shared" si="14"/>
        <v>3038600.5608117427</v>
      </c>
      <c r="G238" s="1">
        <f t="shared" si="14"/>
        <v>3342460.6168929166</v>
      </c>
      <c r="H238" s="1">
        <f t="shared" si="14"/>
        <v>3646320.672974091</v>
      </c>
      <c r="I238" s="1">
        <f t="shared" si="14"/>
        <v>3950180.7290552654</v>
      </c>
      <c r="J238" s="1">
        <f t="shared" si="15"/>
        <v>4254040.7851364389</v>
      </c>
      <c r="K238" s="1">
        <f t="shared" si="15"/>
        <v>4557900.8412176138</v>
      </c>
    </row>
    <row r="239" spans="1:11" x14ac:dyDescent="0.25">
      <c r="A239" t="s">
        <v>229</v>
      </c>
      <c r="B239" t="s">
        <v>260</v>
      </c>
      <c r="C239" t="s">
        <v>261</v>
      </c>
      <c r="D239" s="1">
        <v>4036244</v>
      </c>
      <c r="E239" s="1">
        <f t="shared" si="13"/>
        <v>4405689.5097857816</v>
      </c>
      <c r="F239" s="1">
        <f t="shared" si="14"/>
        <v>5035073.7254694644</v>
      </c>
      <c r="G239" s="1">
        <f t="shared" si="14"/>
        <v>5538581.0980164101</v>
      </c>
      <c r="H239" s="1">
        <f t="shared" si="14"/>
        <v>6042088.4705633577</v>
      </c>
      <c r="I239" s="1">
        <f t="shared" si="14"/>
        <v>6545595.8431103043</v>
      </c>
      <c r="J239" s="1">
        <f t="shared" si="15"/>
        <v>7049103.21565725</v>
      </c>
      <c r="K239" s="1">
        <f t="shared" si="15"/>
        <v>7552610.5882041967</v>
      </c>
    </row>
    <row r="240" spans="1:11" x14ac:dyDescent="0.25">
      <c r="A240" t="s">
        <v>229</v>
      </c>
      <c r="B240" t="s">
        <v>260</v>
      </c>
      <c r="C240" t="s">
        <v>262</v>
      </c>
      <c r="D240" s="1">
        <v>4496588</v>
      </c>
      <c r="E240" s="1">
        <f t="shared" si="13"/>
        <v>4908169.7195285093</v>
      </c>
      <c r="F240" s="1">
        <f t="shared" si="14"/>
        <v>5609336.8223182959</v>
      </c>
      <c r="G240" s="1">
        <f t="shared" si="14"/>
        <v>6170270.5045501254</v>
      </c>
      <c r="H240" s="1">
        <f t="shared" si="14"/>
        <v>6731204.186781955</v>
      </c>
      <c r="I240" s="1">
        <f t="shared" si="14"/>
        <v>7292137.8690137854</v>
      </c>
      <c r="J240" s="1">
        <f t="shared" si="15"/>
        <v>7853071.551245614</v>
      </c>
      <c r="K240" s="1">
        <f t="shared" si="15"/>
        <v>8414005.2334774435</v>
      </c>
    </row>
    <row r="241" spans="1:11" x14ac:dyDescent="0.25">
      <c r="A241" t="s">
        <v>229</v>
      </c>
      <c r="B241" t="s">
        <v>260</v>
      </c>
      <c r="C241" t="s">
        <v>263</v>
      </c>
      <c r="D241" s="1">
        <v>8468567</v>
      </c>
      <c r="E241" s="1">
        <f t="shared" si="13"/>
        <v>9243711.9249525182</v>
      </c>
      <c r="F241" s="1">
        <f t="shared" si="14"/>
        <v>10564242.199945733</v>
      </c>
      <c r="G241" s="1">
        <f t="shared" si="14"/>
        <v>11620666.419940306</v>
      </c>
      <c r="H241" s="1">
        <f t="shared" si="14"/>
        <v>12677090.639934881</v>
      </c>
      <c r="I241" s="1">
        <f t="shared" si="14"/>
        <v>13733514.859929454</v>
      </c>
      <c r="J241" s="1">
        <f t="shared" si="15"/>
        <v>14789939.079924027</v>
      </c>
      <c r="K241" s="1">
        <f t="shared" si="15"/>
        <v>15846363.299918599</v>
      </c>
    </row>
    <row r="242" spans="1:11" x14ac:dyDescent="0.25">
      <c r="A242" t="s">
        <v>229</v>
      </c>
      <c r="B242" t="s">
        <v>260</v>
      </c>
      <c r="C242" t="s">
        <v>264</v>
      </c>
      <c r="D242" s="1">
        <v>6411105</v>
      </c>
      <c r="E242" s="1">
        <f t="shared" si="13"/>
        <v>6997926.3009459227</v>
      </c>
      <c r="F242" s="1">
        <f t="shared" si="14"/>
        <v>7997630.0582239116</v>
      </c>
      <c r="G242" s="1">
        <f t="shared" si="14"/>
        <v>8797393.0640463009</v>
      </c>
      <c r="H242" s="1">
        <f t="shared" si="14"/>
        <v>9597156.0698686931</v>
      </c>
      <c r="I242" s="1">
        <f t="shared" si="14"/>
        <v>10396919.075691085</v>
      </c>
      <c r="J242" s="1">
        <f t="shared" si="15"/>
        <v>11196682.081513474</v>
      </c>
      <c r="K242" s="1">
        <f t="shared" si="15"/>
        <v>11996445.087335866</v>
      </c>
    </row>
    <row r="243" spans="1:11" x14ac:dyDescent="0.25">
      <c r="A243" t="s">
        <v>229</v>
      </c>
      <c r="B243" t="s">
        <v>260</v>
      </c>
      <c r="C243" t="s">
        <v>265</v>
      </c>
      <c r="D243" s="1">
        <v>9592293</v>
      </c>
      <c r="E243" s="1">
        <f t="shared" si="13"/>
        <v>10470294.819860144</v>
      </c>
      <c r="F243" s="1">
        <f t="shared" si="14"/>
        <v>11966051.222697306</v>
      </c>
      <c r="G243" s="1">
        <f t="shared" si="14"/>
        <v>13162656.344967036</v>
      </c>
      <c r="H243" s="1">
        <f t="shared" si="14"/>
        <v>14359261.467236767</v>
      </c>
      <c r="I243" s="1">
        <f t="shared" si="14"/>
        <v>15555866.589506499</v>
      </c>
      <c r="J243" s="1">
        <f t="shared" si="15"/>
        <v>16752471.711776229</v>
      </c>
      <c r="K243" s="1">
        <f t="shared" si="15"/>
        <v>17949076.834045958</v>
      </c>
    </row>
    <row r="244" spans="1:11" x14ac:dyDescent="0.25">
      <c r="A244" t="s">
        <v>229</v>
      </c>
      <c r="B244" t="s">
        <v>260</v>
      </c>
      <c r="C244" t="s">
        <v>266</v>
      </c>
      <c r="D244" s="1">
        <v>5696418</v>
      </c>
      <c r="E244" s="1">
        <f t="shared" si="13"/>
        <v>6217822.5662162406</v>
      </c>
      <c r="F244" s="1">
        <f t="shared" si="14"/>
        <v>7106082.9328185599</v>
      </c>
      <c r="G244" s="1">
        <f t="shared" si="14"/>
        <v>7816691.2261004159</v>
      </c>
      <c r="H244" s="1">
        <f t="shared" si="14"/>
        <v>8527299.5193822719</v>
      </c>
      <c r="I244" s="1">
        <f t="shared" si="14"/>
        <v>9237907.8126641288</v>
      </c>
      <c r="J244" s="1">
        <f t="shared" si="15"/>
        <v>9948516.1059459839</v>
      </c>
      <c r="K244" s="1">
        <f t="shared" si="15"/>
        <v>10659124.399227839</v>
      </c>
    </row>
    <row r="245" spans="1:11" x14ac:dyDescent="0.25">
      <c r="A245" t="s">
        <v>229</v>
      </c>
      <c r="B245" t="s">
        <v>260</v>
      </c>
      <c r="C245" t="s">
        <v>267</v>
      </c>
      <c r="D245" s="1">
        <v>7377618</v>
      </c>
      <c r="E245" s="1">
        <f t="shared" si="13"/>
        <v>8052906.1746036066</v>
      </c>
      <c r="F245" s="1">
        <f t="shared" si="14"/>
        <v>9203321.3424041215</v>
      </c>
      <c r="G245" s="1">
        <f t="shared" si="14"/>
        <v>10123653.476644533</v>
      </c>
      <c r="H245" s="1">
        <f t="shared" si="14"/>
        <v>11043985.610884946</v>
      </c>
      <c r="I245" s="1">
        <f t="shared" si="14"/>
        <v>11964317.745125357</v>
      </c>
      <c r="J245" s="1">
        <f t="shared" si="15"/>
        <v>12884649.879365768</v>
      </c>
      <c r="K245" s="1">
        <f t="shared" si="15"/>
        <v>13804982.013606181</v>
      </c>
    </row>
    <row r="246" spans="1:11" x14ac:dyDescent="0.25">
      <c r="A246" t="s">
        <v>229</v>
      </c>
      <c r="B246" t="s">
        <v>260</v>
      </c>
      <c r="C246" t="s">
        <v>268</v>
      </c>
      <c r="D246" s="1">
        <v>11565185</v>
      </c>
      <c r="E246" s="1">
        <f t="shared" si="13"/>
        <v>12623769.582124341</v>
      </c>
      <c r="F246" s="1">
        <f t="shared" si="14"/>
        <v>14427165.236713532</v>
      </c>
      <c r="G246" s="1">
        <f t="shared" si="14"/>
        <v>15869881.760384884</v>
      </c>
      <c r="H246" s="1">
        <f t="shared" si="14"/>
        <v>17312598.284056235</v>
      </c>
      <c r="I246" s="1">
        <f t="shared" si="14"/>
        <v>18755314.80772759</v>
      </c>
      <c r="J246" s="1">
        <f t="shared" si="15"/>
        <v>20198031.331398942</v>
      </c>
      <c r="K246" s="1">
        <f t="shared" si="15"/>
        <v>21640747.855070297</v>
      </c>
    </row>
    <row r="247" spans="1:11" x14ac:dyDescent="0.25">
      <c r="A247" t="s">
        <v>229</v>
      </c>
      <c r="B247" t="s">
        <v>260</v>
      </c>
      <c r="C247" t="s">
        <v>269</v>
      </c>
      <c r="D247" s="1">
        <v>5852049</v>
      </c>
      <c r="E247" s="1">
        <f t="shared" si="13"/>
        <v>6387698.7838327847</v>
      </c>
      <c r="F247" s="1">
        <f t="shared" si="14"/>
        <v>7300227.1815231824</v>
      </c>
      <c r="G247" s="1">
        <f t="shared" si="14"/>
        <v>8030249.8996754996</v>
      </c>
      <c r="H247" s="1">
        <f t="shared" si="14"/>
        <v>8760272.6178278178</v>
      </c>
      <c r="I247" s="1">
        <f t="shared" si="14"/>
        <v>9490295.3359801378</v>
      </c>
      <c r="J247" s="1">
        <f t="shared" si="15"/>
        <v>10220318.054132454</v>
      </c>
      <c r="K247" s="1">
        <f t="shared" si="15"/>
        <v>10950340.772284772</v>
      </c>
    </row>
    <row r="248" spans="1:11" x14ac:dyDescent="0.25">
      <c r="A248" t="s">
        <v>229</v>
      </c>
      <c r="B248" t="s">
        <v>260</v>
      </c>
      <c r="C248" t="s">
        <v>270</v>
      </c>
      <c r="D248" s="1">
        <v>3387797</v>
      </c>
      <c r="E248" s="1">
        <f t="shared" si="13"/>
        <v>3697888.8551296061</v>
      </c>
      <c r="F248" s="1">
        <f t="shared" si="14"/>
        <v>4226158.6915766923</v>
      </c>
      <c r="G248" s="1">
        <f t="shared" si="14"/>
        <v>4648774.5607343614</v>
      </c>
      <c r="H248" s="1">
        <f t="shared" si="14"/>
        <v>5071390.4298920305</v>
      </c>
      <c r="I248" s="1">
        <f t="shared" si="14"/>
        <v>5494006.2990497006</v>
      </c>
      <c r="J248" s="1">
        <f t="shared" si="15"/>
        <v>5916622.1682073688</v>
      </c>
      <c r="K248" s="1">
        <f t="shared" si="15"/>
        <v>6339238.0373650389</v>
      </c>
    </row>
    <row r="249" spans="1:11" x14ac:dyDescent="0.25">
      <c r="A249" t="s">
        <v>229</v>
      </c>
      <c r="B249" t="s">
        <v>260</v>
      </c>
      <c r="C249" t="s">
        <v>271</v>
      </c>
      <c r="D249" s="1">
        <v>9461453</v>
      </c>
      <c r="E249" s="1">
        <f t="shared" si="13"/>
        <v>10327478.772202874</v>
      </c>
      <c r="F249" s="1">
        <f t="shared" si="14"/>
        <v>11802832.882517569</v>
      </c>
      <c r="G249" s="1">
        <f t="shared" si="14"/>
        <v>12983116.170769325</v>
      </c>
      <c r="H249" s="1">
        <f t="shared" si="14"/>
        <v>14163399.459021082</v>
      </c>
      <c r="I249" s="1">
        <f t="shared" si="14"/>
        <v>15343682.74727284</v>
      </c>
      <c r="J249" s="1">
        <f t="shared" si="15"/>
        <v>16523966.035524596</v>
      </c>
      <c r="K249" s="1">
        <f t="shared" si="15"/>
        <v>17704249.323776353</v>
      </c>
    </row>
    <row r="250" spans="1:11" x14ac:dyDescent="0.25">
      <c r="A250" t="s">
        <v>229</v>
      </c>
      <c r="B250" t="s">
        <v>260</v>
      </c>
      <c r="C250" t="s">
        <v>272</v>
      </c>
      <c r="D250" s="1">
        <v>8424517</v>
      </c>
      <c r="E250" s="1">
        <f t="shared" si="13"/>
        <v>9195629.9400908332</v>
      </c>
      <c r="F250" s="1">
        <f t="shared" si="14"/>
        <v>10509291.360103808</v>
      </c>
      <c r="G250" s="1">
        <f t="shared" si="14"/>
        <v>11560220.496114189</v>
      </c>
      <c r="H250" s="1">
        <f t="shared" si="14"/>
        <v>12611149.632124569</v>
      </c>
      <c r="I250" s="1">
        <f t="shared" si="14"/>
        <v>13662078.768134952</v>
      </c>
      <c r="J250" s="1">
        <f t="shared" si="15"/>
        <v>14713007.904145332</v>
      </c>
      <c r="K250" s="1">
        <f t="shared" si="15"/>
        <v>15763937.040155713</v>
      </c>
    </row>
    <row r="251" spans="1:11" x14ac:dyDescent="0.25">
      <c r="A251" t="s">
        <v>229</v>
      </c>
      <c r="B251" t="s">
        <v>260</v>
      </c>
      <c r="C251" t="s">
        <v>273</v>
      </c>
      <c r="D251" s="1">
        <v>5029551</v>
      </c>
      <c r="E251" s="1">
        <f t="shared" si="13"/>
        <v>5489915.8920106385</v>
      </c>
      <c r="F251" s="1">
        <f t="shared" si="14"/>
        <v>6274189.590869301</v>
      </c>
      <c r="G251" s="1">
        <f t="shared" si="14"/>
        <v>6901608.5499562304</v>
      </c>
      <c r="H251" s="1">
        <f t="shared" si="14"/>
        <v>7529027.5090431608</v>
      </c>
      <c r="I251" s="1">
        <f t="shared" si="14"/>
        <v>8156446.4681300912</v>
      </c>
      <c r="J251" s="1">
        <f t="shared" si="15"/>
        <v>8783865.4272170216</v>
      </c>
      <c r="K251" s="1">
        <f t="shared" si="15"/>
        <v>9411284.386303952</v>
      </c>
    </row>
    <row r="252" spans="1:11" x14ac:dyDescent="0.25">
      <c r="A252" t="s">
        <v>229</v>
      </c>
      <c r="B252" t="s">
        <v>274</v>
      </c>
      <c r="C252" t="s">
        <v>275</v>
      </c>
      <c r="D252" s="1">
        <v>7113454</v>
      </c>
      <c r="E252" s="1">
        <f t="shared" si="13"/>
        <v>7764562.7137863096</v>
      </c>
      <c r="F252" s="1">
        <f t="shared" si="14"/>
        <v>8873785.9586129244</v>
      </c>
      <c r="G252" s="1">
        <f t="shared" si="14"/>
        <v>9761164.554474216</v>
      </c>
      <c r="H252" s="1">
        <f t="shared" si="14"/>
        <v>10648543.150335509</v>
      </c>
      <c r="I252" s="1">
        <f t="shared" si="14"/>
        <v>11535921.746196803</v>
      </c>
      <c r="J252" s="1">
        <f t="shared" si="15"/>
        <v>12423300.342058094</v>
      </c>
      <c r="K252" s="1">
        <f t="shared" si="15"/>
        <v>13310678.937919386</v>
      </c>
    </row>
    <row r="253" spans="1:11" x14ac:dyDescent="0.25">
      <c r="A253" t="s">
        <v>229</v>
      </c>
      <c r="B253" t="s">
        <v>274</v>
      </c>
      <c r="C253" t="s">
        <v>276</v>
      </c>
      <c r="D253" s="1">
        <v>4951396</v>
      </c>
      <c r="E253" s="1">
        <f t="shared" si="13"/>
        <v>5404607.20808635</v>
      </c>
      <c r="F253" s="1">
        <f t="shared" si="14"/>
        <v>6176693.9520986853</v>
      </c>
      <c r="G253" s="1">
        <f t="shared" si="14"/>
        <v>6794363.3473085528</v>
      </c>
      <c r="H253" s="1">
        <f t="shared" si="14"/>
        <v>7412032.7425184222</v>
      </c>
      <c r="I253" s="1">
        <f t="shared" si="14"/>
        <v>8029702.1377282906</v>
      </c>
      <c r="J253" s="1">
        <f t="shared" si="15"/>
        <v>8647371.5329381581</v>
      </c>
      <c r="K253" s="1">
        <f t="shared" si="15"/>
        <v>9265040.9281480275</v>
      </c>
    </row>
    <row r="254" spans="1:11" x14ac:dyDescent="0.25">
      <c r="A254" t="s">
        <v>229</v>
      </c>
      <c r="B254" t="s">
        <v>274</v>
      </c>
      <c r="C254" t="s">
        <v>277</v>
      </c>
      <c r="D254" s="1">
        <v>7023745</v>
      </c>
      <c r="E254" s="1">
        <f t="shared" si="13"/>
        <v>7666642.4690653821</v>
      </c>
      <c r="F254" s="1">
        <f t="shared" si="14"/>
        <v>8761877.1075032949</v>
      </c>
      <c r="G254" s="1">
        <f t="shared" si="14"/>
        <v>9638064.8182536215</v>
      </c>
      <c r="H254" s="1">
        <f t="shared" si="14"/>
        <v>10514252.529003952</v>
      </c>
      <c r="I254" s="1">
        <f t="shared" si="14"/>
        <v>11390440.239754282</v>
      </c>
      <c r="J254" s="1">
        <f t="shared" si="15"/>
        <v>12266627.95050461</v>
      </c>
      <c r="K254" s="1">
        <f t="shared" si="15"/>
        <v>13142815.661254941</v>
      </c>
    </row>
    <row r="255" spans="1:11" x14ac:dyDescent="0.25">
      <c r="A255" t="s">
        <v>229</v>
      </c>
      <c r="B255" t="s">
        <v>274</v>
      </c>
      <c r="C255" t="s">
        <v>278</v>
      </c>
      <c r="D255" s="1">
        <v>5533400</v>
      </c>
      <c r="E255" s="1">
        <f t="shared" si="13"/>
        <v>6039883.2016718127</v>
      </c>
      <c r="F255" s="1">
        <f t="shared" si="14"/>
        <v>6902723.6590534998</v>
      </c>
      <c r="G255" s="1">
        <f t="shared" si="14"/>
        <v>7592996.024958849</v>
      </c>
      <c r="H255" s="1">
        <f t="shared" si="14"/>
        <v>8283268.3908642</v>
      </c>
      <c r="I255" s="1">
        <f t="shared" si="14"/>
        <v>8973540.756769551</v>
      </c>
      <c r="J255" s="1">
        <f t="shared" si="15"/>
        <v>9663813.1226748992</v>
      </c>
      <c r="K255" s="1">
        <f t="shared" si="15"/>
        <v>10354085.488580249</v>
      </c>
    </row>
    <row r="256" spans="1:11" x14ac:dyDescent="0.25">
      <c r="A256" t="s">
        <v>229</v>
      </c>
      <c r="B256" t="s">
        <v>274</v>
      </c>
      <c r="C256" t="s">
        <v>279</v>
      </c>
      <c r="D256" s="1">
        <v>6812734</v>
      </c>
      <c r="E256" s="1">
        <f t="shared" si="13"/>
        <v>7436317.2089598468</v>
      </c>
      <c r="F256" s="1">
        <f t="shared" si="14"/>
        <v>8498648.2388112526</v>
      </c>
      <c r="G256" s="1">
        <f t="shared" si="14"/>
        <v>9348513.0626923777</v>
      </c>
      <c r="H256" s="1">
        <f t="shared" si="14"/>
        <v>10198377.886573503</v>
      </c>
      <c r="I256" s="1">
        <f t="shared" si="14"/>
        <v>11048242.71045463</v>
      </c>
      <c r="J256" s="1">
        <f t="shared" si="15"/>
        <v>11898107.534335753</v>
      </c>
      <c r="K256" s="1">
        <f t="shared" si="15"/>
        <v>12747972.35821688</v>
      </c>
    </row>
    <row r="257" spans="1:11" x14ac:dyDescent="0.25">
      <c r="A257" t="s">
        <v>229</v>
      </c>
      <c r="B257" t="s">
        <v>274</v>
      </c>
      <c r="C257" t="s">
        <v>280</v>
      </c>
      <c r="D257" s="1">
        <v>6629445</v>
      </c>
      <c r="E257" s="1">
        <f t="shared" si="13"/>
        <v>7236251.3991229972</v>
      </c>
      <c r="F257" s="1">
        <f t="shared" si="14"/>
        <v>8270001.5989977103</v>
      </c>
      <c r="G257" s="1">
        <f t="shared" si="14"/>
        <v>9097001.7588974815</v>
      </c>
      <c r="H257" s="1">
        <f t="shared" si="14"/>
        <v>9924001.9187972527</v>
      </c>
      <c r="I257" s="1">
        <f t="shared" si="14"/>
        <v>10751002.078697024</v>
      </c>
      <c r="J257" s="1">
        <f t="shared" si="15"/>
        <v>11578002.238596793</v>
      </c>
      <c r="K257" s="1">
        <f t="shared" si="15"/>
        <v>12405002.398496564</v>
      </c>
    </row>
    <row r="258" spans="1:11" x14ac:dyDescent="0.25">
      <c r="A258" t="s">
        <v>229</v>
      </c>
      <c r="B258" t="s">
        <v>274</v>
      </c>
      <c r="C258" t="s">
        <v>281</v>
      </c>
      <c r="D258" s="1">
        <v>4093272</v>
      </c>
      <c r="E258" s="1">
        <f t="shared" si="13"/>
        <v>4467937.3970205635</v>
      </c>
      <c r="F258" s="1">
        <f t="shared" si="14"/>
        <v>5106214.1680235006</v>
      </c>
      <c r="G258" s="1">
        <f t="shared" si="14"/>
        <v>5616835.5848258501</v>
      </c>
      <c r="H258" s="1">
        <f t="shared" si="14"/>
        <v>6127457.0016282005</v>
      </c>
      <c r="I258" s="1">
        <f t="shared" si="14"/>
        <v>6638078.418430551</v>
      </c>
      <c r="J258" s="1">
        <f t="shared" si="15"/>
        <v>7148699.8352329005</v>
      </c>
      <c r="K258" s="1">
        <f t="shared" si="15"/>
        <v>7659321.2520352509</v>
      </c>
    </row>
    <row r="259" spans="1:11" x14ac:dyDescent="0.25">
      <c r="A259" t="s">
        <v>229</v>
      </c>
      <c r="B259" t="s">
        <v>274</v>
      </c>
      <c r="C259" t="s">
        <v>282</v>
      </c>
      <c r="D259" s="1">
        <v>5590374</v>
      </c>
      <c r="E259" s="1">
        <f t="shared" si="13"/>
        <v>6102072.1461782735</v>
      </c>
      <c r="F259" s="1">
        <f t="shared" si="14"/>
        <v>6973796.7384894555</v>
      </c>
      <c r="G259" s="1">
        <f t="shared" si="14"/>
        <v>7671176.4123384003</v>
      </c>
      <c r="H259" s="1">
        <f t="shared" si="14"/>
        <v>8368556.0861873459</v>
      </c>
      <c r="I259" s="1">
        <f t="shared" ref="I259" si="16">I$1/SUM($D$3:$D$696)*$D259</f>
        <v>9065935.7600362916</v>
      </c>
      <c r="J259" s="1">
        <f t="shared" si="15"/>
        <v>9763315.4338852372</v>
      </c>
      <c r="K259" s="1">
        <f t="shared" si="15"/>
        <v>10460695.107734183</v>
      </c>
    </row>
    <row r="260" spans="1:11" x14ac:dyDescent="0.25">
      <c r="A260" t="s">
        <v>229</v>
      </c>
      <c r="B260" t="s">
        <v>274</v>
      </c>
      <c r="C260" t="s">
        <v>283</v>
      </c>
      <c r="D260" s="1">
        <v>3788172</v>
      </c>
      <c r="E260" s="1">
        <f t="shared" ref="E260:E323" si="17">$E$1/SUM($D$3:$D$696)*D260</f>
        <v>4134910.9820080809</v>
      </c>
      <c r="F260" s="1">
        <f t="shared" ref="F260:I323" si="18">F$1/SUM($D$3:$D$696)*$D260</f>
        <v>4725612.5508663785</v>
      </c>
      <c r="G260" s="1">
        <f t="shared" si="18"/>
        <v>5198173.8059530156</v>
      </c>
      <c r="H260" s="1">
        <f t="shared" si="18"/>
        <v>5670735.0610396536</v>
      </c>
      <c r="I260" s="1">
        <f t="shared" si="18"/>
        <v>6143296.3161262916</v>
      </c>
      <c r="J260" s="1">
        <f t="shared" ref="J260:K323" si="19">J$1/SUM($D$3:$D$696)*$D260</f>
        <v>6615857.5712129287</v>
      </c>
      <c r="K260" s="1">
        <f t="shared" si="19"/>
        <v>7088418.8262995668</v>
      </c>
    </row>
    <row r="261" spans="1:11" x14ac:dyDescent="0.25">
      <c r="A261" t="s">
        <v>229</v>
      </c>
      <c r="B261" t="s">
        <v>274</v>
      </c>
      <c r="C261" t="s">
        <v>284</v>
      </c>
      <c r="D261" s="1">
        <v>7577783</v>
      </c>
      <c r="E261" s="1">
        <f t="shared" si="17"/>
        <v>8271392.6785727106</v>
      </c>
      <c r="F261" s="1">
        <f t="shared" si="18"/>
        <v>9453020.2040830981</v>
      </c>
      <c r="G261" s="1">
        <f t="shared" si="18"/>
        <v>10398322.224491406</v>
      </c>
      <c r="H261" s="1">
        <f t="shared" si="18"/>
        <v>11343624.244899716</v>
      </c>
      <c r="I261" s="1">
        <f t="shared" si="18"/>
        <v>12288926.265308026</v>
      </c>
      <c r="J261" s="1">
        <f t="shared" si="19"/>
        <v>13234228.285716334</v>
      </c>
      <c r="K261" s="1">
        <f t="shared" si="19"/>
        <v>14179530.306124644</v>
      </c>
    </row>
    <row r="262" spans="1:11" x14ac:dyDescent="0.25">
      <c r="A262" t="s">
        <v>229</v>
      </c>
      <c r="B262" t="s">
        <v>274</v>
      </c>
      <c r="C262" t="s">
        <v>285</v>
      </c>
      <c r="D262" s="1">
        <v>9195906</v>
      </c>
      <c r="E262" s="1">
        <f t="shared" si="17"/>
        <v>10037625.722621361</v>
      </c>
      <c r="F262" s="1">
        <f t="shared" si="18"/>
        <v>11471572.254424412</v>
      </c>
      <c r="G262" s="1">
        <f t="shared" si="18"/>
        <v>12618729.479866851</v>
      </c>
      <c r="H262" s="1">
        <f t="shared" si="18"/>
        <v>13765886.705309292</v>
      </c>
      <c r="I262" s="1">
        <f t="shared" si="18"/>
        <v>14913043.930751735</v>
      </c>
      <c r="J262" s="1">
        <f t="shared" si="19"/>
        <v>16060201.156194175</v>
      </c>
      <c r="K262" s="1">
        <f t="shared" si="19"/>
        <v>17207358.381636616</v>
      </c>
    </row>
    <row r="263" spans="1:11" x14ac:dyDescent="0.25">
      <c r="A263" t="s">
        <v>229</v>
      </c>
      <c r="B263" t="s">
        <v>274</v>
      </c>
      <c r="C263" t="s">
        <v>286</v>
      </c>
      <c r="D263" s="1">
        <v>4264751</v>
      </c>
      <c r="E263" s="1">
        <f t="shared" si="17"/>
        <v>4655112.2138672546</v>
      </c>
      <c r="F263" s="1">
        <f t="shared" si="18"/>
        <v>5320128.2444197191</v>
      </c>
      <c r="G263" s="1">
        <f t="shared" si="18"/>
        <v>5852141.0688616903</v>
      </c>
      <c r="H263" s="1">
        <f t="shared" si="18"/>
        <v>6384153.8933036625</v>
      </c>
      <c r="I263" s="1">
        <f t="shared" si="18"/>
        <v>6916166.7177456347</v>
      </c>
      <c r="J263" s="1">
        <f t="shared" si="19"/>
        <v>7448179.542187606</v>
      </c>
      <c r="K263" s="1">
        <f t="shared" si="19"/>
        <v>7980192.3666295782</v>
      </c>
    </row>
    <row r="264" spans="1:11" x14ac:dyDescent="0.25">
      <c r="A264" t="s">
        <v>229</v>
      </c>
      <c r="B264" t="s">
        <v>274</v>
      </c>
      <c r="C264" t="s">
        <v>287</v>
      </c>
      <c r="D264" s="1">
        <v>6190067</v>
      </c>
      <c r="E264" s="1">
        <f t="shared" si="17"/>
        <v>6756656.2494168207</v>
      </c>
      <c r="F264" s="1">
        <f t="shared" si="18"/>
        <v>7721892.8564763656</v>
      </c>
      <c r="G264" s="1">
        <f t="shared" si="18"/>
        <v>8494082.1421240009</v>
      </c>
      <c r="H264" s="1">
        <f t="shared" si="18"/>
        <v>9266271.4277716391</v>
      </c>
      <c r="I264" s="1">
        <f t="shared" si="18"/>
        <v>10038460.713419275</v>
      </c>
      <c r="J264" s="1">
        <f t="shared" si="19"/>
        <v>10810649.999066912</v>
      </c>
      <c r="K264" s="1">
        <f t="shared" si="19"/>
        <v>11582839.284714548</v>
      </c>
    </row>
    <row r="265" spans="1:11" x14ac:dyDescent="0.25">
      <c r="A265" t="s">
        <v>229</v>
      </c>
      <c r="B265" t="s">
        <v>274</v>
      </c>
      <c r="C265" t="s">
        <v>288</v>
      </c>
      <c r="D265" s="1">
        <v>8644285</v>
      </c>
      <c r="E265" s="1">
        <f t="shared" si="17"/>
        <v>9435513.7459723912</v>
      </c>
      <c r="F265" s="1">
        <f t="shared" si="18"/>
        <v>10783444.281111304</v>
      </c>
      <c r="G265" s="1">
        <f t="shared" si="18"/>
        <v>11861788.709222432</v>
      </c>
      <c r="H265" s="1">
        <f t="shared" si="18"/>
        <v>12940133.137333563</v>
      </c>
      <c r="I265" s="1">
        <f t="shared" si="18"/>
        <v>14018477.565444695</v>
      </c>
      <c r="J265" s="1">
        <f t="shared" si="19"/>
        <v>15096821.993555823</v>
      </c>
      <c r="K265" s="1">
        <f t="shared" si="19"/>
        <v>16175166.421666954</v>
      </c>
    </row>
    <row r="266" spans="1:11" x14ac:dyDescent="0.25">
      <c r="A266" t="s">
        <v>229</v>
      </c>
      <c r="B266" t="s">
        <v>289</v>
      </c>
      <c r="C266" t="s">
        <v>290</v>
      </c>
      <c r="D266" s="1">
        <v>3598845</v>
      </c>
      <c r="E266" s="1">
        <f t="shared" si="17"/>
        <v>3928254.5019193618</v>
      </c>
      <c r="F266" s="1">
        <f t="shared" si="18"/>
        <v>4489433.7164792707</v>
      </c>
      <c r="G266" s="1">
        <f t="shared" si="18"/>
        <v>4938377.0881271968</v>
      </c>
      <c r="H266" s="1">
        <f t="shared" si="18"/>
        <v>5387320.4597751237</v>
      </c>
      <c r="I266" s="1">
        <f t="shared" si="18"/>
        <v>5836263.8314230517</v>
      </c>
      <c r="J266" s="1">
        <f t="shared" si="19"/>
        <v>6285207.2030709777</v>
      </c>
      <c r="K266" s="1">
        <f t="shared" si="19"/>
        <v>6734150.5747189047</v>
      </c>
    </row>
    <row r="267" spans="1:11" x14ac:dyDescent="0.25">
      <c r="A267" t="s">
        <v>229</v>
      </c>
      <c r="B267" t="s">
        <v>289</v>
      </c>
      <c r="C267" t="s">
        <v>291</v>
      </c>
      <c r="D267" s="1">
        <v>6200883</v>
      </c>
      <c r="E267" s="1">
        <f t="shared" si="17"/>
        <v>6768462.2595930742</v>
      </c>
      <c r="F267" s="1">
        <f t="shared" si="18"/>
        <v>7735385.4395349417</v>
      </c>
      <c r="G267" s="1">
        <f t="shared" si="18"/>
        <v>8508923.9834884349</v>
      </c>
      <c r="H267" s="1">
        <f t="shared" si="18"/>
        <v>9282462.52744193</v>
      </c>
      <c r="I267" s="1">
        <f t="shared" si="18"/>
        <v>10056001.071395423</v>
      </c>
      <c r="J267" s="1">
        <f t="shared" si="19"/>
        <v>10829539.615348917</v>
      </c>
      <c r="K267" s="1">
        <f t="shared" si="19"/>
        <v>11603078.159302412</v>
      </c>
    </row>
    <row r="268" spans="1:11" x14ac:dyDescent="0.25">
      <c r="A268" t="s">
        <v>229</v>
      </c>
      <c r="B268" t="s">
        <v>289</v>
      </c>
      <c r="C268" t="s">
        <v>292</v>
      </c>
      <c r="D268" s="1">
        <v>4630800</v>
      </c>
      <c r="E268" s="1">
        <f t="shared" si="17"/>
        <v>5054666.413109812</v>
      </c>
      <c r="F268" s="1">
        <f t="shared" si="18"/>
        <v>5776761.6149826413</v>
      </c>
      <c r="G268" s="1">
        <f t="shared" si="18"/>
        <v>6354437.7764809048</v>
      </c>
      <c r="H268" s="1">
        <f t="shared" si="18"/>
        <v>6932113.9379791692</v>
      </c>
      <c r="I268" s="1">
        <f t="shared" si="18"/>
        <v>7509790.0994774336</v>
      </c>
      <c r="J268" s="1">
        <f t="shared" si="19"/>
        <v>8087466.2609756971</v>
      </c>
      <c r="K268" s="1">
        <f t="shared" si="19"/>
        <v>8665142.4224739615</v>
      </c>
    </row>
    <row r="269" spans="1:11" x14ac:dyDescent="0.25">
      <c r="A269" t="s">
        <v>229</v>
      </c>
      <c r="B269" t="s">
        <v>289</v>
      </c>
      <c r="C269" t="s">
        <v>293</v>
      </c>
      <c r="D269" s="1">
        <v>6471551</v>
      </c>
      <c r="E269" s="1">
        <f t="shared" si="17"/>
        <v>7063905.044577009</v>
      </c>
      <c r="F269" s="1">
        <f t="shared" si="18"/>
        <v>8073034.3366594389</v>
      </c>
      <c r="G269" s="1">
        <f t="shared" si="18"/>
        <v>8880337.7703253813</v>
      </c>
      <c r="H269" s="1">
        <f t="shared" si="18"/>
        <v>9687641.2039913256</v>
      </c>
      <c r="I269" s="1">
        <f t="shared" si="18"/>
        <v>10494944.63765727</v>
      </c>
      <c r="J269" s="1">
        <f t="shared" si="19"/>
        <v>11302248.071323212</v>
      </c>
      <c r="K269" s="1">
        <f t="shared" si="19"/>
        <v>12109551.504989158</v>
      </c>
    </row>
    <row r="270" spans="1:11" x14ac:dyDescent="0.25">
      <c r="A270" t="s">
        <v>229</v>
      </c>
      <c r="B270" t="s">
        <v>289</v>
      </c>
      <c r="C270" t="s">
        <v>294</v>
      </c>
      <c r="D270" s="1">
        <v>6738443</v>
      </c>
      <c r="E270" s="1">
        <f t="shared" si="17"/>
        <v>7355226.2047065124</v>
      </c>
      <c r="F270" s="1">
        <f t="shared" si="18"/>
        <v>8405972.805378871</v>
      </c>
      <c r="G270" s="1">
        <f t="shared" si="18"/>
        <v>9246570.0859167576</v>
      </c>
      <c r="H270" s="1">
        <f t="shared" si="18"/>
        <v>10087167.366454644</v>
      </c>
      <c r="I270" s="1">
        <f t="shared" si="18"/>
        <v>10927764.646992533</v>
      </c>
      <c r="J270" s="1">
        <f t="shared" si="19"/>
        <v>11768361.927530419</v>
      </c>
      <c r="K270" s="1">
        <f t="shared" si="19"/>
        <v>12608959.208068306</v>
      </c>
    </row>
    <row r="271" spans="1:11" x14ac:dyDescent="0.25">
      <c r="A271" t="s">
        <v>229</v>
      </c>
      <c r="B271" t="s">
        <v>289</v>
      </c>
      <c r="C271" t="s">
        <v>295</v>
      </c>
      <c r="D271" s="1">
        <v>6838931</v>
      </c>
      <c r="E271" s="1">
        <f t="shared" si="17"/>
        <v>7464912.0729194731</v>
      </c>
      <c r="F271" s="1">
        <f t="shared" si="18"/>
        <v>8531328.0833365414</v>
      </c>
      <c r="G271" s="1">
        <f t="shared" si="18"/>
        <v>9384460.8916701935</v>
      </c>
      <c r="H271" s="1">
        <f t="shared" si="18"/>
        <v>10237593.700003847</v>
      </c>
      <c r="I271" s="1">
        <f t="shared" si="18"/>
        <v>11090726.508337503</v>
      </c>
      <c r="J271" s="1">
        <f t="shared" si="19"/>
        <v>11943859.316671155</v>
      </c>
      <c r="K271" s="1">
        <f t="shared" si="19"/>
        <v>12796992.125004809</v>
      </c>
    </row>
    <row r="272" spans="1:11" x14ac:dyDescent="0.25">
      <c r="A272" t="s">
        <v>229</v>
      </c>
      <c r="B272" t="s">
        <v>289</v>
      </c>
      <c r="C272" t="s">
        <v>296</v>
      </c>
      <c r="D272" s="1">
        <v>2817585</v>
      </c>
      <c r="E272" s="1">
        <f t="shared" si="17"/>
        <v>3075484.2069581947</v>
      </c>
      <c r="F272" s="1">
        <f t="shared" si="18"/>
        <v>3514839.0936665083</v>
      </c>
      <c r="G272" s="1">
        <f t="shared" si="18"/>
        <v>3866323.0030331584</v>
      </c>
      <c r="H272" s="1">
        <f t="shared" si="18"/>
        <v>4217806.9123998098</v>
      </c>
      <c r="I272" s="1">
        <f t="shared" si="18"/>
        <v>4569290.8217664603</v>
      </c>
      <c r="J272" s="1">
        <f t="shared" si="19"/>
        <v>4920774.7311331108</v>
      </c>
      <c r="K272" s="1">
        <f t="shared" si="19"/>
        <v>5272258.6404997623</v>
      </c>
    </row>
    <row r="273" spans="1:11" x14ac:dyDescent="0.25">
      <c r="A273" t="s">
        <v>229</v>
      </c>
      <c r="B273" t="s">
        <v>289</v>
      </c>
      <c r="C273" t="s">
        <v>297</v>
      </c>
      <c r="D273" s="1">
        <v>3591772</v>
      </c>
      <c r="E273" s="1">
        <f t="shared" si="17"/>
        <v>3920534.0960413436</v>
      </c>
      <c r="F273" s="1">
        <f t="shared" si="18"/>
        <v>4480610.3954758216</v>
      </c>
      <c r="G273" s="1">
        <f t="shared" si="18"/>
        <v>4928671.4350234028</v>
      </c>
      <c r="H273" s="1">
        <f t="shared" si="18"/>
        <v>5376732.474570985</v>
      </c>
      <c r="I273" s="1">
        <f t="shared" si="18"/>
        <v>5824793.5141185671</v>
      </c>
      <c r="J273" s="1">
        <f t="shared" si="19"/>
        <v>6272854.5536661493</v>
      </c>
      <c r="K273" s="1">
        <f t="shared" si="19"/>
        <v>6720915.5932137314</v>
      </c>
    </row>
    <row r="274" spans="1:11" x14ac:dyDescent="0.25">
      <c r="A274" t="s">
        <v>229</v>
      </c>
      <c r="B274" t="s">
        <v>289</v>
      </c>
      <c r="C274" t="s">
        <v>298</v>
      </c>
      <c r="D274" s="1">
        <v>4812115</v>
      </c>
      <c r="E274" s="1">
        <f t="shared" si="17"/>
        <v>5252577.5387669345</v>
      </c>
      <c r="F274" s="1">
        <f t="shared" si="18"/>
        <v>6002945.7585907821</v>
      </c>
      <c r="G274" s="1">
        <f t="shared" si="18"/>
        <v>6603240.3344498593</v>
      </c>
      <c r="H274" s="1">
        <f t="shared" si="18"/>
        <v>7203534.9103089385</v>
      </c>
      <c r="I274" s="1">
        <f t="shared" si="18"/>
        <v>7803829.4861680167</v>
      </c>
      <c r="J274" s="1">
        <f t="shared" si="19"/>
        <v>8404124.0620270949</v>
      </c>
      <c r="K274" s="1">
        <f t="shared" si="19"/>
        <v>9004418.6378861722</v>
      </c>
    </row>
    <row r="275" spans="1:11" x14ac:dyDescent="0.25">
      <c r="A275" t="s">
        <v>229</v>
      </c>
      <c r="B275" t="s">
        <v>289</v>
      </c>
      <c r="C275" t="s">
        <v>299</v>
      </c>
      <c r="D275" s="1">
        <v>6302720</v>
      </c>
      <c r="E275" s="1">
        <f t="shared" si="17"/>
        <v>6879620.6044820491</v>
      </c>
      <c r="F275" s="1">
        <f t="shared" si="18"/>
        <v>7862423.5479794843</v>
      </c>
      <c r="G275" s="1">
        <f t="shared" si="18"/>
        <v>8648665.9027774315</v>
      </c>
      <c r="H275" s="1">
        <f t="shared" si="18"/>
        <v>9434908.2575753797</v>
      </c>
      <c r="I275" s="1">
        <f t="shared" si="18"/>
        <v>10221150.61237333</v>
      </c>
      <c r="J275" s="1">
        <f t="shared" si="19"/>
        <v>11007392.967171276</v>
      </c>
      <c r="K275" s="1">
        <f t="shared" si="19"/>
        <v>11793635.321969226</v>
      </c>
    </row>
    <row r="276" spans="1:11" x14ac:dyDescent="0.25">
      <c r="A276" t="s">
        <v>229</v>
      </c>
      <c r="B276" t="s">
        <v>289</v>
      </c>
      <c r="C276" t="s">
        <v>300</v>
      </c>
      <c r="D276" s="1">
        <v>6911242</v>
      </c>
      <c r="E276" s="1">
        <f t="shared" si="17"/>
        <v>7543841.8438010449</v>
      </c>
      <c r="F276" s="1">
        <f t="shared" si="18"/>
        <v>8621533.5357726235</v>
      </c>
      <c r="G276" s="1">
        <f t="shared" si="18"/>
        <v>9483686.8893498834</v>
      </c>
      <c r="H276" s="1">
        <f t="shared" si="18"/>
        <v>10345840.242927147</v>
      </c>
      <c r="I276" s="1">
        <f t="shared" si="18"/>
        <v>11207993.596504409</v>
      </c>
      <c r="J276" s="1">
        <f t="shared" si="19"/>
        <v>12070146.950081671</v>
      </c>
      <c r="K276" s="1">
        <f t="shared" si="19"/>
        <v>12932300.303658934</v>
      </c>
    </row>
    <row r="277" spans="1:11" x14ac:dyDescent="0.25">
      <c r="A277" t="s">
        <v>229</v>
      </c>
      <c r="B277" t="s">
        <v>289</v>
      </c>
      <c r="C277" t="s">
        <v>301</v>
      </c>
      <c r="D277" s="1">
        <v>9998069</v>
      </c>
      <c r="E277" s="1">
        <f t="shared" si="17"/>
        <v>10913212.311102703</v>
      </c>
      <c r="F277" s="1">
        <f t="shared" si="18"/>
        <v>12472242.641260233</v>
      </c>
      <c r="G277" s="1">
        <f t="shared" si="18"/>
        <v>13719466.905386254</v>
      </c>
      <c r="H277" s="1">
        <f t="shared" si="18"/>
        <v>14966691.169512277</v>
      </c>
      <c r="I277" s="1">
        <f t="shared" si="18"/>
        <v>16213915.433638303</v>
      </c>
      <c r="J277" s="1">
        <f t="shared" si="19"/>
        <v>17461139.697764322</v>
      </c>
      <c r="K277" s="1">
        <f t="shared" si="19"/>
        <v>18708363.961890347</v>
      </c>
    </row>
    <row r="278" spans="1:11" x14ac:dyDescent="0.25">
      <c r="A278" t="s">
        <v>229</v>
      </c>
      <c r="B278" t="s">
        <v>289</v>
      </c>
      <c r="C278" t="s">
        <v>302</v>
      </c>
      <c r="D278" s="1">
        <v>8622860</v>
      </c>
      <c r="E278" s="1">
        <f t="shared" si="17"/>
        <v>9412127.6727451123</v>
      </c>
      <c r="F278" s="1">
        <f t="shared" si="18"/>
        <v>10756717.340280129</v>
      </c>
      <c r="G278" s="1">
        <f t="shared" si="18"/>
        <v>11832389.07430814</v>
      </c>
      <c r="H278" s="1">
        <f t="shared" si="18"/>
        <v>12908060.808336154</v>
      </c>
      <c r="I278" s="1">
        <f t="shared" si="18"/>
        <v>13983732.542364167</v>
      </c>
      <c r="J278" s="1">
        <f t="shared" si="19"/>
        <v>15059404.276392179</v>
      </c>
      <c r="K278" s="1">
        <f t="shared" si="19"/>
        <v>16135076.010420192</v>
      </c>
    </row>
    <row r="279" spans="1:11" x14ac:dyDescent="0.25">
      <c r="A279" t="s">
        <v>229</v>
      </c>
      <c r="B279" t="s">
        <v>289</v>
      </c>
      <c r="C279" t="s">
        <v>303</v>
      </c>
      <c r="D279" s="1">
        <v>6685061</v>
      </c>
      <c r="E279" s="1">
        <f t="shared" si="17"/>
        <v>7296958.0431653904</v>
      </c>
      <c r="F279" s="1">
        <f t="shared" si="18"/>
        <v>8339380.6207604455</v>
      </c>
      <c r="G279" s="1">
        <f t="shared" si="18"/>
        <v>9173318.6828364898</v>
      </c>
      <c r="H279" s="1">
        <f t="shared" si="18"/>
        <v>10007256.744912535</v>
      </c>
      <c r="I279" s="1">
        <f t="shared" si="18"/>
        <v>10841194.80698858</v>
      </c>
      <c r="J279" s="1">
        <f t="shared" si="19"/>
        <v>11675132.869064623</v>
      </c>
      <c r="K279" s="1">
        <f t="shared" si="19"/>
        <v>12509070.931140669</v>
      </c>
    </row>
    <row r="280" spans="1:11" x14ac:dyDescent="0.25">
      <c r="A280" t="s">
        <v>304</v>
      </c>
      <c r="B280" t="s">
        <v>305</v>
      </c>
      <c r="C280" t="s">
        <v>306</v>
      </c>
      <c r="D280" s="1">
        <v>3393521</v>
      </c>
      <c r="E280" s="1">
        <f t="shared" si="17"/>
        <v>3704136.7843316104</v>
      </c>
      <c r="F280" s="1">
        <f t="shared" si="18"/>
        <v>4233299.1820932692</v>
      </c>
      <c r="G280" s="1">
        <f t="shared" si="18"/>
        <v>4656629.1003025947</v>
      </c>
      <c r="H280" s="1">
        <f t="shared" si="18"/>
        <v>5079959.0185119221</v>
      </c>
      <c r="I280" s="1">
        <f t="shared" si="18"/>
        <v>5503288.9367212495</v>
      </c>
      <c r="J280" s="1">
        <f t="shared" si="19"/>
        <v>5926618.8549305759</v>
      </c>
      <c r="K280" s="1">
        <f t="shared" si="19"/>
        <v>6349948.7731399024</v>
      </c>
    </row>
    <row r="281" spans="1:11" x14ac:dyDescent="0.25">
      <c r="A281" t="s">
        <v>304</v>
      </c>
      <c r="B281" t="s">
        <v>305</v>
      </c>
      <c r="C281" t="s">
        <v>307</v>
      </c>
      <c r="D281" s="1">
        <v>5060725</v>
      </c>
      <c r="E281" s="1">
        <f t="shared" si="17"/>
        <v>5523943.3107638313</v>
      </c>
      <c r="F281" s="1">
        <f t="shared" si="18"/>
        <v>6313078.0694443788</v>
      </c>
      <c r="G281" s="1">
        <f t="shared" si="18"/>
        <v>6944385.8763888162</v>
      </c>
      <c r="H281" s="1">
        <f t="shared" si="18"/>
        <v>7575693.6833332544</v>
      </c>
      <c r="I281" s="1">
        <f t="shared" si="18"/>
        <v>8207001.4902776917</v>
      </c>
      <c r="J281" s="1">
        <f t="shared" si="19"/>
        <v>8838309.29722213</v>
      </c>
      <c r="K281" s="1">
        <f t="shared" si="19"/>
        <v>9469617.1041665673</v>
      </c>
    </row>
    <row r="282" spans="1:11" x14ac:dyDescent="0.25">
      <c r="A282" t="s">
        <v>304</v>
      </c>
      <c r="B282" t="s">
        <v>305</v>
      </c>
      <c r="C282" t="s">
        <v>308</v>
      </c>
      <c r="D282" s="1">
        <v>1808598</v>
      </c>
      <c r="E282" s="1">
        <f t="shared" si="17"/>
        <v>1974142.602880189</v>
      </c>
      <c r="F282" s="1">
        <f t="shared" si="18"/>
        <v>2256162.9747202159</v>
      </c>
      <c r="G282" s="1">
        <f t="shared" si="18"/>
        <v>2481779.272192237</v>
      </c>
      <c r="H282" s="1">
        <f t="shared" si="18"/>
        <v>2707395.569664259</v>
      </c>
      <c r="I282" s="1">
        <f t="shared" si="18"/>
        <v>2933011.8671362805</v>
      </c>
      <c r="J282" s="1">
        <f t="shared" si="19"/>
        <v>3158628.1646083021</v>
      </c>
      <c r="K282" s="1">
        <f t="shared" si="19"/>
        <v>3384244.4620803236</v>
      </c>
    </row>
    <row r="283" spans="1:11" x14ac:dyDescent="0.25">
      <c r="A283" t="s">
        <v>304</v>
      </c>
      <c r="B283" t="s">
        <v>305</v>
      </c>
      <c r="C283" t="s">
        <v>309</v>
      </c>
      <c r="D283" s="1">
        <v>5316758</v>
      </c>
      <c r="E283" s="1">
        <f t="shared" si="17"/>
        <v>5803411.5248408252</v>
      </c>
      <c r="F283" s="1">
        <f t="shared" si="18"/>
        <v>6632470.3141038008</v>
      </c>
      <c r="G283" s="1">
        <f t="shared" si="18"/>
        <v>7295717.3455141801</v>
      </c>
      <c r="H283" s="1">
        <f t="shared" si="18"/>
        <v>7958964.3769245604</v>
      </c>
      <c r="I283" s="1">
        <f t="shared" si="18"/>
        <v>8622211.4083349407</v>
      </c>
      <c r="J283" s="1">
        <f t="shared" si="19"/>
        <v>9285458.43974532</v>
      </c>
      <c r="K283" s="1">
        <f t="shared" si="19"/>
        <v>9948705.4711556993</v>
      </c>
    </row>
    <row r="284" spans="1:11" x14ac:dyDescent="0.25">
      <c r="A284" t="s">
        <v>304</v>
      </c>
      <c r="B284" t="s">
        <v>305</v>
      </c>
      <c r="C284" t="s">
        <v>310</v>
      </c>
      <c r="D284" s="1">
        <v>1700000</v>
      </c>
      <c r="E284" s="1">
        <f t="shared" si="17"/>
        <v>1855604.4100990498</v>
      </c>
      <c r="F284" s="1">
        <f t="shared" si="18"/>
        <v>2120690.7543989141</v>
      </c>
      <c r="G284" s="1">
        <f t="shared" si="18"/>
        <v>2332759.8298388049</v>
      </c>
      <c r="H284" s="1">
        <f t="shared" si="18"/>
        <v>2544828.9052786967</v>
      </c>
      <c r="I284" s="1">
        <f t="shared" si="18"/>
        <v>2756897.980718588</v>
      </c>
      <c r="J284" s="1">
        <f t="shared" si="19"/>
        <v>2968967.0561584793</v>
      </c>
      <c r="K284" s="1">
        <f t="shared" si="19"/>
        <v>3181036.1315983706</v>
      </c>
    </row>
    <row r="285" spans="1:11" x14ac:dyDescent="0.25">
      <c r="A285" t="s">
        <v>304</v>
      </c>
      <c r="B285" t="s">
        <v>305</v>
      </c>
      <c r="C285" t="s">
        <v>311</v>
      </c>
      <c r="D285" s="1">
        <v>2460408</v>
      </c>
      <c r="E285" s="1">
        <f t="shared" si="17"/>
        <v>2685614.0796723426</v>
      </c>
      <c r="F285" s="1">
        <f t="shared" si="18"/>
        <v>3069273.2339112489</v>
      </c>
      <c r="G285" s="1">
        <f t="shared" si="18"/>
        <v>3376200.5573023735</v>
      </c>
      <c r="H285" s="1">
        <f t="shared" si="18"/>
        <v>3683127.8806934985</v>
      </c>
      <c r="I285" s="1">
        <f t="shared" si="18"/>
        <v>3990055.2040846236</v>
      </c>
      <c r="J285" s="1">
        <f t="shared" si="19"/>
        <v>4296982.5274757482</v>
      </c>
      <c r="K285" s="1">
        <f t="shared" si="19"/>
        <v>4603909.8508668728</v>
      </c>
    </row>
    <row r="286" spans="1:11" x14ac:dyDescent="0.25">
      <c r="A286" t="s">
        <v>304</v>
      </c>
      <c r="B286" t="s">
        <v>305</v>
      </c>
      <c r="C286" t="s">
        <v>312</v>
      </c>
      <c r="D286" s="1">
        <v>7224407</v>
      </c>
      <c r="E286" s="1">
        <f t="shared" si="17"/>
        <v>7885671.4644414382</v>
      </c>
      <c r="F286" s="1">
        <f t="shared" si="18"/>
        <v>9012195.9593616445</v>
      </c>
      <c r="G286" s="1">
        <f t="shared" si="18"/>
        <v>9913415.5552978069</v>
      </c>
      <c r="H286" s="1">
        <f t="shared" si="18"/>
        <v>10814635.151233973</v>
      </c>
      <c r="I286" s="1">
        <f t="shared" si="18"/>
        <v>11715854.747170137</v>
      </c>
      <c r="J286" s="1">
        <f t="shared" si="19"/>
        <v>12617074.3431063</v>
      </c>
      <c r="K286" s="1">
        <f t="shared" si="19"/>
        <v>13518293.939042466</v>
      </c>
    </row>
    <row r="287" spans="1:11" x14ac:dyDescent="0.25">
      <c r="A287" t="s">
        <v>304</v>
      </c>
      <c r="B287" t="s">
        <v>305</v>
      </c>
      <c r="C287" t="s">
        <v>313</v>
      </c>
      <c r="D287" s="1">
        <v>1700000</v>
      </c>
      <c r="E287" s="1">
        <f t="shared" si="17"/>
        <v>1855604.4100990498</v>
      </c>
      <c r="F287" s="1">
        <f t="shared" si="18"/>
        <v>2120690.7543989141</v>
      </c>
      <c r="G287" s="1">
        <f t="shared" si="18"/>
        <v>2332759.8298388049</v>
      </c>
      <c r="H287" s="1">
        <f t="shared" si="18"/>
        <v>2544828.9052786967</v>
      </c>
      <c r="I287" s="1">
        <f t="shared" si="18"/>
        <v>2756897.980718588</v>
      </c>
      <c r="J287" s="1">
        <f t="shared" si="19"/>
        <v>2968967.0561584793</v>
      </c>
      <c r="K287" s="1">
        <f t="shared" si="19"/>
        <v>3181036.1315983706</v>
      </c>
    </row>
    <row r="288" spans="1:11" x14ac:dyDescent="0.25">
      <c r="A288" t="s">
        <v>304</v>
      </c>
      <c r="B288" t="s">
        <v>305</v>
      </c>
      <c r="C288" t="s">
        <v>314</v>
      </c>
      <c r="D288" s="1">
        <v>4411285</v>
      </c>
      <c r="E288" s="1">
        <f t="shared" si="17"/>
        <v>4815058.7648257567</v>
      </c>
      <c r="F288" s="1">
        <f t="shared" si="18"/>
        <v>5502924.3026580075</v>
      </c>
      <c r="G288" s="1">
        <f t="shared" si="18"/>
        <v>6053216.7329238076</v>
      </c>
      <c r="H288" s="1">
        <f t="shared" si="18"/>
        <v>6603509.1631896086</v>
      </c>
      <c r="I288" s="1">
        <f t="shared" si="18"/>
        <v>7153801.5934554096</v>
      </c>
      <c r="J288" s="1">
        <f t="shared" si="19"/>
        <v>7704094.0237212097</v>
      </c>
      <c r="K288" s="1">
        <f t="shared" si="19"/>
        <v>8254386.4539870108</v>
      </c>
    </row>
    <row r="289" spans="1:11" x14ac:dyDescent="0.25">
      <c r="A289" t="s">
        <v>304</v>
      </c>
      <c r="B289" t="s">
        <v>305</v>
      </c>
      <c r="C289" t="s">
        <v>315</v>
      </c>
      <c r="D289" s="1">
        <v>8526386</v>
      </c>
      <c r="E289" s="1">
        <f t="shared" si="17"/>
        <v>9306823.2140039988</v>
      </c>
      <c r="F289" s="1">
        <f t="shared" si="18"/>
        <v>10636369.38743314</v>
      </c>
      <c r="G289" s="1">
        <f t="shared" si="18"/>
        <v>11700006.326176453</v>
      </c>
      <c r="H289" s="1">
        <f t="shared" si="18"/>
        <v>12763643.264919767</v>
      </c>
      <c r="I289" s="1">
        <f t="shared" si="18"/>
        <v>13827280.203663083</v>
      </c>
      <c r="J289" s="1">
        <f t="shared" si="19"/>
        <v>14890917.142406395</v>
      </c>
      <c r="K289" s="1">
        <f t="shared" si="19"/>
        <v>15954554.081149708</v>
      </c>
    </row>
    <row r="290" spans="1:11" x14ac:dyDescent="0.25">
      <c r="A290" t="s">
        <v>304</v>
      </c>
      <c r="B290" t="s">
        <v>305</v>
      </c>
      <c r="C290" t="s">
        <v>316</v>
      </c>
      <c r="D290" s="1">
        <v>2197607</v>
      </c>
      <c r="E290" s="1">
        <f t="shared" si="17"/>
        <v>2398758.3769791424</v>
      </c>
      <c r="F290" s="1">
        <f t="shared" si="18"/>
        <v>2741438.1451190202</v>
      </c>
      <c r="G290" s="1">
        <f t="shared" si="18"/>
        <v>3015581.9596309215</v>
      </c>
      <c r="H290" s="1">
        <f t="shared" si="18"/>
        <v>3289725.7741428236</v>
      </c>
      <c r="I290" s="1">
        <f t="shared" si="18"/>
        <v>3563869.5886547258</v>
      </c>
      <c r="J290" s="1">
        <f t="shared" si="19"/>
        <v>3838013.4031666275</v>
      </c>
      <c r="K290" s="1">
        <f t="shared" si="19"/>
        <v>4112157.2176785297</v>
      </c>
    </row>
    <row r="291" spans="1:11" x14ac:dyDescent="0.25">
      <c r="A291" t="s">
        <v>304</v>
      </c>
      <c r="B291" t="s">
        <v>305</v>
      </c>
      <c r="C291" t="s">
        <v>317</v>
      </c>
      <c r="D291" s="1">
        <v>3508399</v>
      </c>
      <c r="E291" s="1">
        <f t="shared" si="17"/>
        <v>3829529.7981100567</v>
      </c>
      <c r="F291" s="1">
        <f t="shared" si="18"/>
        <v>4376605.4835543502</v>
      </c>
      <c r="G291" s="1">
        <f t="shared" si="18"/>
        <v>4814266.0319097843</v>
      </c>
      <c r="H291" s="1">
        <f t="shared" si="18"/>
        <v>5251926.5802652203</v>
      </c>
      <c r="I291" s="1">
        <f t="shared" si="18"/>
        <v>5689587.1286206553</v>
      </c>
      <c r="J291" s="1">
        <f t="shared" si="19"/>
        <v>6127247.6769760894</v>
      </c>
      <c r="K291" s="1">
        <f t="shared" si="19"/>
        <v>6564908.2253315253</v>
      </c>
    </row>
    <row r="292" spans="1:11" x14ac:dyDescent="0.25">
      <c r="A292" t="s">
        <v>304</v>
      </c>
      <c r="B292" t="s">
        <v>305</v>
      </c>
      <c r="C292" t="s">
        <v>318</v>
      </c>
      <c r="D292" s="1">
        <v>3197837</v>
      </c>
      <c r="E292" s="1">
        <f t="shared" si="17"/>
        <v>3490541.4352811263</v>
      </c>
      <c r="F292" s="1">
        <f t="shared" si="18"/>
        <v>3989190.2117498587</v>
      </c>
      <c r="G292" s="1">
        <f t="shared" si="18"/>
        <v>4388109.2329248441</v>
      </c>
      <c r="H292" s="1">
        <f t="shared" si="18"/>
        <v>4787028.2540998301</v>
      </c>
      <c r="I292" s="1">
        <f t="shared" si="18"/>
        <v>5185947.275274816</v>
      </c>
      <c r="J292" s="1">
        <f t="shared" si="19"/>
        <v>5584866.2964498019</v>
      </c>
      <c r="K292" s="1">
        <f t="shared" si="19"/>
        <v>5983785.3176247878</v>
      </c>
    </row>
    <row r="293" spans="1:11" x14ac:dyDescent="0.25">
      <c r="A293" t="s">
        <v>304</v>
      </c>
      <c r="B293" t="s">
        <v>305</v>
      </c>
      <c r="C293" t="s">
        <v>319</v>
      </c>
      <c r="D293" s="1">
        <v>4497269</v>
      </c>
      <c r="E293" s="1">
        <f t="shared" si="17"/>
        <v>4908913.052824555</v>
      </c>
      <c r="F293" s="1">
        <f t="shared" si="18"/>
        <v>5610186.3460852057</v>
      </c>
      <c r="G293" s="1">
        <f t="shared" si="18"/>
        <v>6171204.9806937249</v>
      </c>
      <c r="H293" s="1">
        <f t="shared" si="18"/>
        <v>6732223.6153022461</v>
      </c>
      <c r="I293" s="1">
        <f t="shared" si="18"/>
        <v>7293242.2499107672</v>
      </c>
      <c r="J293" s="1">
        <f t="shared" si="19"/>
        <v>7854260.8845192865</v>
      </c>
      <c r="K293" s="1">
        <f t="shared" si="19"/>
        <v>8415279.5191278085</v>
      </c>
    </row>
    <row r="294" spans="1:11" x14ac:dyDescent="0.25">
      <c r="A294" t="s">
        <v>304</v>
      </c>
      <c r="B294" t="s">
        <v>320</v>
      </c>
      <c r="C294" t="s">
        <v>321</v>
      </c>
      <c r="D294" s="1">
        <v>2464154</v>
      </c>
      <c r="E294" s="1">
        <f t="shared" si="17"/>
        <v>2689702.9585665963</v>
      </c>
      <c r="F294" s="1">
        <f t="shared" si="18"/>
        <v>3073946.2383618243</v>
      </c>
      <c r="G294" s="1">
        <f t="shared" si="18"/>
        <v>3381340.8621980064</v>
      </c>
      <c r="H294" s="1">
        <f t="shared" si="18"/>
        <v>3688735.4860341889</v>
      </c>
      <c r="I294" s="1">
        <f t="shared" si="18"/>
        <v>3996130.1098703714</v>
      </c>
      <c r="J294" s="1">
        <f t="shared" si="19"/>
        <v>4303524.7337065535</v>
      </c>
      <c r="K294" s="1">
        <f t="shared" si="19"/>
        <v>4610919.3575427365</v>
      </c>
    </row>
    <row r="295" spans="1:11" x14ac:dyDescent="0.25">
      <c r="A295" t="s">
        <v>304</v>
      </c>
      <c r="B295" t="s">
        <v>320</v>
      </c>
      <c r="C295" t="s">
        <v>322</v>
      </c>
      <c r="D295" s="1">
        <v>4445808</v>
      </c>
      <c r="E295" s="1">
        <f t="shared" si="17"/>
        <v>4852741.7242668448</v>
      </c>
      <c r="F295" s="1">
        <f t="shared" si="18"/>
        <v>5545990.5420192508</v>
      </c>
      <c r="G295" s="1">
        <f t="shared" si="18"/>
        <v>6100589.596221175</v>
      </c>
      <c r="H295" s="1">
        <f t="shared" si="18"/>
        <v>6655188.6504231011</v>
      </c>
      <c r="I295" s="1">
        <f t="shared" si="18"/>
        <v>7209787.7046250263</v>
      </c>
      <c r="J295" s="1">
        <f t="shared" si="19"/>
        <v>7764386.7588269506</v>
      </c>
      <c r="K295" s="1">
        <f t="shared" si="19"/>
        <v>8318985.8130288757</v>
      </c>
    </row>
    <row r="296" spans="1:11" x14ac:dyDescent="0.25">
      <c r="A296" t="s">
        <v>304</v>
      </c>
      <c r="B296" t="s">
        <v>320</v>
      </c>
      <c r="C296" t="s">
        <v>323</v>
      </c>
      <c r="D296" s="1">
        <v>1700001</v>
      </c>
      <c r="E296" s="1">
        <f t="shared" si="17"/>
        <v>1855605.5016310557</v>
      </c>
      <c r="F296" s="1">
        <f t="shared" si="18"/>
        <v>2120692.0018640636</v>
      </c>
      <c r="G296" s="1">
        <f t="shared" si="18"/>
        <v>2332761.2020504698</v>
      </c>
      <c r="H296" s="1">
        <f t="shared" si="18"/>
        <v>2544830.4022368761</v>
      </c>
      <c r="I296" s="1">
        <f t="shared" si="18"/>
        <v>2756899.6024232828</v>
      </c>
      <c r="J296" s="1">
        <f t="shared" si="19"/>
        <v>2968968.8026096886</v>
      </c>
      <c r="K296" s="1">
        <f t="shared" si="19"/>
        <v>3181038.0027960953</v>
      </c>
    </row>
    <row r="297" spans="1:11" x14ac:dyDescent="0.25">
      <c r="A297" t="s">
        <v>304</v>
      </c>
      <c r="B297" t="s">
        <v>320</v>
      </c>
      <c r="C297" t="s">
        <v>324</v>
      </c>
      <c r="D297" s="1">
        <v>5197865</v>
      </c>
      <c r="E297" s="1">
        <f t="shared" si="17"/>
        <v>5673636.0100585278</v>
      </c>
      <c r="F297" s="1">
        <f t="shared" si="18"/>
        <v>6484155.4400668889</v>
      </c>
      <c r="G297" s="1">
        <f t="shared" si="18"/>
        <v>7132570.9840735765</v>
      </c>
      <c r="H297" s="1">
        <f t="shared" si="18"/>
        <v>7780986.528080266</v>
      </c>
      <c r="I297" s="1">
        <f t="shared" si="18"/>
        <v>8429402.0720869545</v>
      </c>
      <c r="J297" s="1">
        <f t="shared" si="19"/>
        <v>9077817.616093643</v>
      </c>
      <c r="K297" s="1">
        <f t="shared" si="19"/>
        <v>9726233.1601003334</v>
      </c>
    </row>
    <row r="298" spans="1:11" x14ac:dyDescent="0.25">
      <c r="A298" t="s">
        <v>304</v>
      </c>
      <c r="B298" t="s">
        <v>320</v>
      </c>
      <c r="C298" t="s">
        <v>325</v>
      </c>
      <c r="D298" s="1">
        <v>8281257</v>
      </c>
      <c r="E298" s="1">
        <f t="shared" si="17"/>
        <v>9039257.0649197809</v>
      </c>
      <c r="F298" s="1">
        <f t="shared" si="18"/>
        <v>10330579.502765464</v>
      </c>
      <c r="G298" s="1">
        <f t="shared" si="18"/>
        <v>11363637.453042008</v>
      </c>
      <c r="H298" s="1">
        <f t="shared" si="18"/>
        <v>12396695.403318554</v>
      </c>
      <c r="I298" s="1">
        <f t="shared" si="18"/>
        <v>13429753.353595102</v>
      </c>
      <c r="J298" s="1">
        <f t="shared" si="19"/>
        <v>14462811.303871647</v>
      </c>
      <c r="K298" s="1">
        <f t="shared" si="19"/>
        <v>15495869.254148193</v>
      </c>
    </row>
    <row r="299" spans="1:11" x14ac:dyDescent="0.25">
      <c r="A299" t="s">
        <v>304</v>
      </c>
      <c r="B299" t="s">
        <v>320</v>
      </c>
      <c r="C299" t="s">
        <v>326</v>
      </c>
      <c r="D299" s="1">
        <v>3275439</v>
      </c>
      <c r="E299" s="1">
        <f t="shared" si="17"/>
        <v>3575246.5020061303</v>
      </c>
      <c r="F299" s="1">
        <f t="shared" si="18"/>
        <v>4085996.0022927201</v>
      </c>
      <c r="G299" s="1">
        <f t="shared" si="18"/>
        <v>4494595.6025219914</v>
      </c>
      <c r="H299" s="1">
        <f t="shared" si="18"/>
        <v>4903195.202751264</v>
      </c>
      <c r="I299" s="1">
        <f t="shared" si="18"/>
        <v>5311794.8029805366</v>
      </c>
      <c r="J299" s="1">
        <f t="shared" si="19"/>
        <v>5720394.4032098074</v>
      </c>
      <c r="K299" s="1">
        <f t="shared" si="19"/>
        <v>6128994.00343908</v>
      </c>
    </row>
    <row r="300" spans="1:11" x14ac:dyDescent="0.25">
      <c r="A300" t="s">
        <v>304</v>
      </c>
      <c r="B300" t="s">
        <v>320</v>
      </c>
      <c r="C300" t="s">
        <v>327</v>
      </c>
      <c r="D300" s="1">
        <v>3477158</v>
      </c>
      <c r="E300" s="1">
        <f t="shared" si="17"/>
        <v>3795429.2467124658</v>
      </c>
      <c r="F300" s="1">
        <f t="shared" si="18"/>
        <v>4337633.4248142466</v>
      </c>
      <c r="G300" s="1">
        <f t="shared" si="18"/>
        <v>4771396.7672956707</v>
      </c>
      <c r="H300" s="1">
        <f t="shared" si="18"/>
        <v>5205160.1097770957</v>
      </c>
      <c r="I300" s="1">
        <f t="shared" si="18"/>
        <v>5638923.4522585198</v>
      </c>
      <c r="J300" s="1">
        <f t="shared" si="19"/>
        <v>6072686.7947399439</v>
      </c>
      <c r="K300" s="1">
        <f t="shared" si="19"/>
        <v>6506450.137221369</v>
      </c>
    </row>
    <row r="301" spans="1:11" x14ac:dyDescent="0.25">
      <c r="A301" t="s">
        <v>304</v>
      </c>
      <c r="B301" t="s">
        <v>320</v>
      </c>
      <c r="C301" t="s">
        <v>328</v>
      </c>
      <c r="D301" s="1">
        <v>2754839</v>
      </c>
      <c r="E301" s="1">
        <f t="shared" si="17"/>
        <v>3006994.9397134446</v>
      </c>
      <c r="F301" s="1">
        <f t="shared" si="18"/>
        <v>3436565.6453867941</v>
      </c>
      <c r="G301" s="1">
        <f t="shared" si="18"/>
        <v>3780222.2099254727</v>
      </c>
      <c r="H301" s="1">
        <f t="shared" si="18"/>
        <v>4123878.7744641523</v>
      </c>
      <c r="I301" s="1">
        <f t="shared" si="18"/>
        <v>4467535.3390028318</v>
      </c>
      <c r="J301" s="1">
        <f t="shared" si="19"/>
        <v>4811191.9035415109</v>
      </c>
      <c r="K301" s="1">
        <f t="shared" si="19"/>
        <v>5154848.4680801909</v>
      </c>
    </row>
    <row r="302" spans="1:11" x14ac:dyDescent="0.25">
      <c r="A302" t="s">
        <v>304</v>
      </c>
      <c r="B302" t="s">
        <v>320</v>
      </c>
      <c r="C302" t="s">
        <v>329</v>
      </c>
      <c r="D302" s="1">
        <v>4282694</v>
      </c>
      <c r="E302" s="1">
        <f t="shared" si="17"/>
        <v>4674697.5726498468</v>
      </c>
      <c r="F302" s="1">
        <f t="shared" si="18"/>
        <v>5342511.5115998248</v>
      </c>
      <c r="G302" s="1">
        <f t="shared" si="18"/>
        <v>5876762.662759807</v>
      </c>
      <c r="H302" s="1">
        <f t="shared" si="18"/>
        <v>6411013.8139197892</v>
      </c>
      <c r="I302" s="1">
        <f t="shared" si="18"/>
        <v>6945264.9650797723</v>
      </c>
      <c r="J302" s="1">
        <f t="shared" si="19"/>
        <v>7479516.1162397545</v>
      </c>
      <c r="K302" s="1">
        <f t="shared" si="19"/>
        <v>8013767.2673997367</v>
      </c>
    </row>
    <row r="303" spans="1:11" x14ac:dyDescent="0.25">
      <c r="A303" t="s">
        <v>304</v>
      </c>
      <c r="B303" t="s">
        <v>320</v>
      </c>
      <c r="C303" t="s">
        <v>330</v>
      </c>
      <c r="D303" s="1">
        <v>1700001</v>
      </c>
      <c r="E303" s="1">
        <f t="shared" si="17"/>
        <v>1855605.5016310557</v>
      </c>
      <c r="F303" s="1">
        <f t="shared" si="18"/>
        <v>2120692.0018640636</v>
      </c>
      <c r="G303" s="1">
        <f t="shared" si="18"/>
        <v>2332761.2020504698</v>
      </c>
      <c r="H303" s="1">
        <f t="shared" si="18"/>
        <v>2544830.4022368761</v>
      </c>
      <c r="I303" s="1">
        <f t="shared" si="18"/>
        <v>2756899.6024232828</v>
      </c>
      <c r="J303" s="1">
        <f t="shared" si="19"/>
        <v>2968968.8026096886</v>
      </c>
      <c r="K303" s="1">
        <f t="shared" si="19"/>
        <v>3181038.0027960953</v>
      </c>
    </row>
    <row r="304" spans="1:11" x14ac:dyDescent="0.25">
      <c r="A304" t="s">
        <v>304</v>
      </c>
      <c r="B304" t="s">
        <v>320</v>
      </c>
      <c r="C304" t="s">
        <v>331</v>
      </c>
      <c r="D304" s="1">
        <v>6381096</v>
      </c>
      <c r="E304" s="1">
        <f t="shared" si="17"/>
        <v>6965170.5169796506</v>
      </c>
      <c r="F304" s="1">
        <f t="shared" si="18"/>
        <v>7960194.876548172</v>
      </c>
      <c r="G304" s="1">
        <f t="shared" si="18"/>
        <v>8756214.3642029874</v>
      </c>
      <c r="H304" s="1">
        <f t="shared" si="18"/>
        <v>9552233.8518578056</v>
      </c>
      <c r="I304" s="1">
        <f t="shared" si="18"/>
        <v>10348253.339512624</v>
      </c>
      <c r="J304" s="1">
        <f t="shared" si="19"/>
        <v>11144272.82716744</v>
      </c>
      <c r="K304" s="1">
        <f t="shared" si="19"/>
        <v>11940292.314822257</v>
      </c>
    </row>
    <row r="305" spans="1:11" x14ac:dyDescent="0.25">
      <c r="A305" t="s">
        <v>304</v>
      </c>
      <c r="B305" t="s">
        <v>320</v>
      </c>
      <c r="C305" t="s">
        <v>332</v>
      </c>
      <c r="D305" s="1">
        <v>5268587</v>
      </c>
      <c r="E305" s="1">
        <f t="shared" si="17"/>
        <v>5750831.3365826597</v>
      </c>
      <c r="F305" s="1">
        <f t="shared" si="18"/>
        <v>6572378.6703801826</v>
      </c>
      <c r="G305" s="1">
        <f t="shared" si="18"/>
        <v>7229616.5374182006</v>
      </c>
      <c r="H305" s="1">
        <f t="shared" si="18"/>
        <v>7886854.4044562187</v>
      </c>
      <c r="I305" s="1">
        <f t="shared" si="18"/>
        <v>8544092.2714942377</v>
      </c>
      <c r="J305" s="1">
        <f t="shared" si="19"/>
        <v>9201330.1385322548</v>
      </c>
      <c r="K305" s="1">
        <f t="shared" si="19"/>
        <v>9858568.0055702738</v>
      </c>
    </row>
    <row r="306" spans="1:11" x14ac:dyDescent="0.25">
      <c r="A306" t="s">
        <v>304</v>
      </c>
      <c r="B306" t="s">
        <v>320</v>
      </c>
      <c r="C306" t="s">
        <v>333</v>
      </c>
      <c r="D306" s="1">
        <v>1700000</v>
      </c>
      <c r="E306" s="1">
        <f t="shared" si="17"/>
        <v>1855604.4100990498</v>
      </c>
      <c r="F306" s="1">
        <f t="shared" si="18"/>
        <v>2120690.7543989141</v>
      </c>
      <c r="G306" s="1">
        <f t="shared" si="18"/>
        <v>2332759.8298388049</v>
      </c>
      <c r="H306" s="1">
        <f t="shared" si="18"/>
        <v>2544828.9052786967</v>
      </c>
      <c r="I306" s="1">
        <f t="shared" si="18"/>
        <v>2756897.980718588</v>
      </c>
      <c r="J306" s="1">
        <f t="shared" si="19"/>
        <v>2968967.0561584793</v>
      </c>
      <c r="K306" s="1">
        <f t="shared" si="19"/>
        <v>3181036.1315983706</v>
      </c>
    </row>
    <row r="307" spans="1:11" x14ac:dyDescent="0.25">
      <c r="A307" t="s">
        <v>304</v>
      </c>
      <c r="B307" t="s">
        <v>320</v>
      </c>
      <c r="C307" t="s">
        <v>334</v>
      </c>
      <c r="D307" s="1">
        <v>3677026</v>
      </c>
      <c r="E307" s="1">
        <f t="shared" si="17"/>
        <v>4013591.5656758049</v>
      </c>
      <c r="F307" s="1">
        <f t="shared" si="18"/>
        <v>4586961.7893437771</v>
      </c>
      <c r="G307" s="1">
        <f t="shared" si="18"/>
        <v>5045657.9682781538</v>
      </c>
      <c r="H307" s="1">
        <f t="shared" si="18"/>
        <v>5504354.1472125323</v>
      </c>
      <c r="I307" s="1">
        <f t="shared" si="18"/>
        <v>5963050.32614691</v>
      </c>
      <c r="J307" s="1">
        <f t="shared" si="19"/>
        <v>6421746.5050812876</v>
      </c>
      <c r="K307" s="1">
        <f t="shared" si="19"/>
        <v>6880442.6840156652</v>
      </c>
    </row>
    <row r="308" spans="1:11" x14ac:dyDescent="0.25">
      <c r="A308" t="s">
        <v>304</v>
      </c>
      <c r="B308" t="s">
        <v>320</v>
      </c>
      <c r="C308" t="s">
        <v>335</v>
      </c>
      <c r="D308" s="1">
        <v>6136779</v>
      </c>
      <c r="E308" s="1">
        <f t="shared" si="17"/>
        <v>6698490.6918842569</v>
      </c>
      <c r="F308" s="1">
        <f t="shared" si="18"/>
        <v>7655417.9335820079</v>
      </c>
      <c r="G308" s="1">
        <f t="shared" si="18"/>
        <v>8420959.7269402072</v>
      </c>
      <c r="H308" s="1">
        <f t="shared" si="18"/>
        <v>9186501.5202984083</v>
      </c>
      <c r="I308" s="1">
        <f t="shared" si="18"/>
        <v>9952043.3136566095</v>
      </c>
      <c r="J308" s="1">
        <f t="shared" si="19"/>
        <v>10717585.107014809</v>
      </c>
      <c r="K308" s="1">
        <f t="shared" si="19"/>
        <v>11483126.90037301</v>
      </c>
    </row>
    <row r="309" spans="1:11" x14ac:dyDescent="0.25">
      <c r="A309" t="s">
        <v>304</v>
      </c>
      <c r="B309" t="s">
        <v>320</v>
      </c>
      <c r="C309" t="s">
        <v>336</v>
      </c>
      <c r="D309" s="1">
        <v>8242343</v>
      </c>
      <c r="E309" s="1">
        <f t="shared" si="17"/>
        <v>8996781.1884406079</v>
      </c>
      <c r="F309" s="1">
        <f t="shared" si="18"/>
        <v>10282035.643932123</v>
      </c>
      <c r="G309" s="1">
        <f t="shared" si="18"/>
        <v>11310239.208325334</v>
      </c>
      <c r="H309" s="1">
        <f t="shared" si="18"/>
        <v>12338442.772718545</v>
      </c>
      <c r="I309" s="1">
        <f t="shared" si="18"/>
        <v>13366646.337111758</v>
      </c>
      <c r="J309" s="1">
        <f t="shared" si="19"/>
        <v>14394849.901504969</v>
      </c>
      <c r="K309" s="1">
        <f t="shared" si="19"/>
        <v>15423053.465898182</v>
      </c>
    </row>
    <row r="310" spans="1:11" x14ac:dyDescent="0.25">
      <c r="A310" t="s">
        <v>304</v>
      </c>
      <c r="B310" t="s">
        <v>305</v>
      </c>
      <c r="C310" t="s">
        <v>337</v>
      </c>
      <c r="D310" s="1">
        <v>2833463</v>
      </c>
      <c r="E310" s="1">
        <f t="shared" si="17"/>
        <v>3092815.55214852</v>
      </c>
      <c r="F310" s="1">
        <f t="shared" si="18"/>
        <v>3534646.345312594</v>
      </c>
      <c r="G310" s="1">
        <f t="shared" si="18"/>
        <v>3888110.979843853</v>
      </c>
      <c r="H310" s="1">
        <f t="shared" si="18"/>
        <v>4241575.6143751126</v>
      </c>
      <c r="I310" s="1">
        <f t="shared" si="18"/>
        <v>4595040.2489063721</v>
      </c>
      <c r="J310" s="1">
        <f t="shared" si="19"/>
        <v>4948504.8834376307</v>
      </c>
      <c r="K310" s="1">
        <f t="shared" si="19"/>
        <v>5301969.5179688912</v>
      </c>
    </row>
    <row r="311" spans="1:11" x14ac:dyDescent="0.25">
      <c r="A311" t="s">
        <v>304</v>
      </c>
      <c r="B311" t="s">
        <v>355</v>
      </c>
      <c r="C311" t="s">
        <v>339</v>
      </c>
      <c r="D311" s="1">
        <v>1944529</v>
      </c>
      <c r="E311" s="1">
        <f t="shared" si="17"/>
        <v>2122515.6399797029</v>
      </c>
      <c r="F311" s="1">
        <f t="shared" si="18"/>
        <v>2425732.1599768032</v>
      </c>
      <c r="G311" s="1">
        <f t="shared" si="18"/>
        <v>2668305.3759744833</v>
      </c>
      <c r="H311" s="1">
        <f t="shared" si="18"/>
        <v>2910878.5919721639</v>
      </c>
      <c r="I311" s="1">
        <f t="shared" si="18"/>
        <v>3153451.8079698444</v>
      </c>
      <c r="J311" s="1">
        <f t="shared" si="19"/>
        <v>3396025.0239675245</v>
      </c>
      <c r="K311" s="1">
        <f t="shared" si="19"/>
        <v>3638598.2399652046</v>
      </c>
    </row>
    <row r="312" spans="1:11" x14ac:dyDescent="0.25">
      <c r="A312" t="s">
        <v>304</v>
      </c>
      <c r="B312" t="s">
        <v>338</v>
      </c>
      <c r="C312" t="s">
        <v>340</v>
      </c>
      <c r="D312" s="1">
        <v>3365882</v>
      </c>
      <c r="E312" s="1">
        <f t="shared" si="17"/>
        <v>3673967.9312194176</v>
      </c>
      <c r="F312" s="1">
        <f t="shared" si="18"/>
        <v>4198820.4928221917</v>
      </c>
      <c r="G312" s="1">
        <f t="shared" si="18"/>
        <v>4618702.54210441</v>
      </c>
      <c r="H312" s="1">
        <f t="shared" si="18"/>
        <v>5038584.5913866293</v>
      </c>
      <c r="I312" s="1">
        <f t="shared" si="18"/>
        <v>5458466.6406688485</v>
      </c>
      <c r="J312" s="1">
        <f t="shared" si="19"/>
        <v>5878348.6899510669</v>
      </c>
      <c r="K312" s="1">
        <f t="shared" si="19"/>
        <v>6298230.7392332871</v>
      </c>
    </row>
    <row r="313" spans="1:11" x14ac:dyDescent="0.25">
      <c r="A313" t="s">
        <v>304</v>
      </c>
      <c r="B313" t="s">
        <v>338</v>
      </c>
      <c r="C313" t="s">
        <v>341</v>
      </c>
      <c r="D313" s="1">
        <v>5049786</v>
      </c>
      <c r="E313" s="1">
        <f t="shared" si="17"/>
        <v>5512003.0421508467</v>
      </c>
      <c r="F313" s="1">
        <f t="shared" si="18"/>
        <v>6299432.0481723966</v>
      </c>
      <c r="G313" s="1">
        <f t="shared" si="18"/>
        <v>6929375.2529896358</v>
      </c>
      <c r="H313" s="1">
        <f t="shared" si="18"/>
        <v>7559318.457806875</v>
      </c>
      <c r="I313" s="1">
        <f t="shared" si="18"/>
        <v>8189261.6626241151</v>
      </c>
      <c r="J313" s="1">
        <f t="shared" si="19"/>
        <v>8819204.8674413543</v>
      </c>
      <c r="K313" s="1">
        <f t="shared" si="19"/>
        <v>9449148.0722585935</v>
      </c>
    </row>
    <row r="314" spans="1:11" x14ac:dyDescent="0.25">
      <c r="A314" t="s">
        <v>304</v>
      </c>
      <c r="B314" t="s">
        <v>338</v>
      </c>
      <c r="C314" t="s">
        <v>342</v>
      </c>
      <c r="D314" s="1">
        <v>5762930</v>
      </c>
      <c r="E314" s="1">
        <f t="shared" si="17"/>
        <v>6290422.5429953625</v>
      </c>
      <c r="F314" s="1">
        <f t="shared" si="18"/>
        <v>7189054.3348518433</v>
      </c>
      <c r="G314" s="1">
        <f t="shared" si="18"/>
        <v>7907959.7683370262</v>
      </c>
      <c r="H314" s="1">
        <f t="shared" si="18"/>
        <v>8626865.201822212</v>
      </c>
      <c r="I314" s="1">
        <f t="shared" si="18"/>
        <v>9345770.6353073958</v>
      </c>
      <c r="J314" s="1">
        <f t="shared" si="19"/>
        <v>10064676.06879258</v>
      </c>
      <c r="K314" s="1">
        <f t="shared" si="19"/>
        <v>10783581.502277764</v>
      </c>
    </row>
    <row r="315" spans="1:11" x14ac:dyDescent="0.25">
      <c r="A315" t="s">
        <v>304</v>
      </c>
      <c r="B315" t="s">
        <v>338</v>
      </c>
      <c r="C315" t="s">
        <v>343</v>
      </c>
      <c r="D315" s="1">
        <v>3827667</v>
      </c>
      <c r="E315" s="1">
        <f t="shared" si="17"/>
        <v>4178021.0385827054</v>
      </c>
      <c r="F315" s="1">
        <f t="shared" si="18"/>
        <v>4774881.1869516633</v>
      </c>
      <c r="G315" s="1">
        <f t="shared" si="18"/>
        <v>5252369.3056468293</v>
      </c>
      <c r="H315" s="1">
        <f t="shared" si="18"/>
        <v>5729857.4243419953</v>
      </c>
      <c r="I315" s="1">
        <f t="shared" si="18"/>
        <v>6207345.5430371622</v>
      </c>
      <c r="J315" s="1">
        <f t="shared" si="19"/>
        <v>6684833.6617323281</v>
      </c>
      <c r="K315" s="1">
        <f t="shared" si="19"/>
        <v>7162321.780427495</v>
      </c>
    </row>
    <row r="316" spans="1:11" x14ac:dyDescent="0.25">
      <c r="A316" t="s">
        <v>304</v>
      </c>
      <c r="B316" t="s">
        <v>338</v>
      </c>
      <c r="C316" t="s">
        <v>344</v>
      </c>
      <c r="D316" s="1">
        <v>3576670</v>
      </c>
      <c r="E316" s="1">
        <f t="shared" si="17"/>
        <v>3904049.7796876286</v>
      </c>
      <c r="F316" s="1">
        <f t="shared" si="18"/>
        <v>4461771.1767858611</v>
      </c>
      <c r="G316" s="1">
        <f t="shared" si="18"/>
        <v>4907948.2944644466</v>
      </c>
      <c r="H316" s="1">
        <f t="shared" si="18"/>
        <v>5354125.412143033</v>
      </c>
      <c r="I316" s="1">
        <f t="shared" si="18"/>
        <v>5800302.5298216194</v>
      </c>
      <c r="J316" s="1">
        <f t="shared" si="19"/>
        <v>6246479.6475002049</v>
      </c>
      <c r="K316" s="1">
        <f t="shared" si="19"/>
        <v>6692656.7651787912</v>
      </c>
    </row>
    <row r="317" spans="1:11" x14ac:dyDescent="0.25">
      <c r="A317" t="s">
        <v>304</v>
      </c>
      <c r="B317" t="s">
        <v>338</v>
      </c>
      <c r="C317" t="s">
        <v>345</v>
      </c>
      <c r="D317" s="1">
        <v>3800600</v>
      </c>
      <c r="E317" s="1">
        <f t="shared" si="17"/>
        <v>4148476.5417779107</v>
      </c>
      <c r="F317" s="1">
        <f t="shared" si="18"/>
        <v>4741116.0477461834</v>
      </c>
      <c r="G317" s="1">
        <f t="shared" si="18"/>
        <v>5215227.6525208019</v>
      </c>
      <c r="H317" s="1">
        <f t="shared" si="18"/>
        <v>5689339.2572954204</v>
      </c>
      <c r="I317" s="1">
        <f t="shared" si="18"/>
        <v>6163450.8620700389</v>
      </c>
      <c r="J317" s="1">
        <f t="shared" si="19"/>
        <v>6637562.4668446565</v>
      </c>
      <c r="K317" s="1">
        <f t="shared" si="19"/>
        <v>7111674.071619275</v>
      </c>
    </row>
    <row r="318" spans="1:11" x14ac:dyDescent="0.25">
      <c r="A318" t="s">
        <v>304</v>
      </c>
      <c r="B318" t="s">
        <v>338</v>
      </c>
      <c r="C318" t="s">
        <v>346</v>
      </c>
      <c r="D318" s="1">
        <v>9253944</v>
      </c>
      <c r="E318" s="1">
        <f t="shared" si="17"/>
        <v>10100976.057182143</v>
      </c>
      <c r="F318" s="1">
        <f t="shared" si="18"/>
        <v>11543972.63677959</v>
      </c>
      <c r="G318" s="1">
        <f t="shared" si="18"/>
        <v>12698369.900457548</v>
      </c>
      <c r="H318" s="1">
        <f t="shared" si="18"/>
        <v>13852767.164135508</v>
      </c>
      <c r="I318" s="1">
        <f t="shared" si="18"/>
        <v>15007164.427813467</v>
      </c>
      <c r="J318" s="1">
        <f t="shared" si="19"/>
        <v>16161561.691491425</v>
      </c>
      <c r="K318" s="1">
        <f t="shared" si="19"/>
        <v>17315958.955169383</v>
      </c>
    </row>
    <row r="319" spans="1:11" x14ac:dyDescent="0.25">
      <c r="A319" t="s">
        <v>304</v>
      </c>
      <c r="B319" t="s">
        <v>338</v>
      </c>
      <c r="C319" t="s">
        <v>347</v>
      </c>
      <c r="D319" s="1">
        <v>4001290</v>
      </c>
      <c r="E319" s="1">
        <f t="shared" si="17"/>
        <v>4367536.1000501337</v>
      </c>
      <c r="F319" s="1">
        <f t="shared" si="18"/>
        <v>4991469.8286287235</v>
      </c>
      <c r="G319" s="1">
        <f t="shared" si="18"/>
        <v>5490616.8114915956</v>
      </c>
      <c r="H319" s="1">
        <f t="shared" si="18"/>
        <v>5989763.7943544686</v>
      </c>
      <c r="I319" s="1">
        <f t="shared" si="18"/>
        <v>6488910.7772173407</v>
      </c>
      <c r="J319" s="1">
        <f t="shared" si="19"/>
        <v>6988057.7600802127</v>
      </c>
      <c r="K319" s="1">
        <f t="shared" si="19"/>
        <v>7487204.7429430848</v>
      </c>
    </row>
    <row r="320" spans="1:11" x14ac:dyDescent="0.25">
      <c r="A320" t="s">
        <v>304</v>
      </c>
      <c r="B320" t="s">
        <v>338</v>
      </c>
      <c r="C320" t="s">
        <v>348</v>
      </c>
      <c r="D320" s="1">
        <v>5985955</v>
      </c>
      <c r="E320" s="1">
        <f t="shared" si="17"/>
        <v>6533861.4686202686</v>
      </c>
      <c r="F320" s="1">
        <f t="shared" si="18"/>
        <v>7467270.2498517362</v>
      </c>
      <c r="G320" s="1">
        <f t="shared" si="18"/>
        <v>8213997.2748369081</v>
      </c>
      <c r="H320" s="1">
        <f t="shared" si="18"/>
        <v>8960724.2998220827</v>
      </c>
      <c r="I320" s="1">
        <f t="shared" si="18"/>
        <v>9707451.3248072565</v>
      </c>
      <c r="J320" s="1">
        <f t="shared" si="19"/>
        <v>10454178.349792428</v>
      </c>
      <c r="K320" s="1">
        <f t="shared" si="19"/>
        <v>11200905.374777604</v>
      </c>
    </row>
    <row r="321" spans="1:11" x14ac:dyDescent="0.25">
      <c r="A321" t="s">
        <v>304</v>
      </c>
      <c r="B321" t="s">
        <v>338</v>
      </c>
      <c r="C321" t="s">
        <v>349</v>
      </c>
      <c r="D321" s="1">
        <v>3256872</v>
      </c>
      <c r="E321" s="1">
        <f t="shared" si="17"/>
        <v>3554980.0272518308</v>
      </c>
      <c r="F321" s="1">
        <f t="shared" si="18"/>
        <v>4062834.3168592351</v>
      </c>
      <c r="G321" s="1">
        <f t="shared" si="18"/>
        <v>4469117.7485451577</v>
      </c>
      <c r="H321" s="1">
        <f t="shared" si="18"/>
        <v>4875401.1802310823</v>
      </c>
      <c r="I321" s="1">
        <f t="shared" si="18"/>
        <v>5281684.6119170059</v>
      </c>
      <c r="J321" s="1">
        <f t="shared" si="19"/>
        <v>5687968.0436029285</v>
      </c>
      <c r="K321" s="1">
        <f t="shared" si="19"/>
        <v>6094251.4752888521</v>
      </c>
    </row>
    <row r="322" spans="1:11" x14ac:dyDescent="0.25">
      <c r="A322" t="s">
        <v>304</v>
      </c>
      <c r="B322" t="s">
        <v>338</v>
      </c>
      <c r="C322" t="s">
        <v>350</v>
      </c>
      <c r="D322" s="1">
        <v>2150215</v>
      </c>
      <c r="E322" s="1">
        <f t="shared" si="17"/>
        <v>2347028.492153605</v>
      </c>
      <c r="F322" s="1">
        <f t="shared" si="18"/>
        <v>2682318.2767469771</v>
      </c>
      <c r="G322" s="1">
        <f t="shared" si="18"/>
        <v>2950550.1044216743</v>
      </c>
      <c r="H322" s="1">
        <f t="shared" si="18"/>
        <v>3218781.9320963719</v>
      </c>
      <c r="I322" s="1">
        <f t="shared" si="18"/>
        <v>3487013.75977107</v>
      </c>
      <c r="J322" s="1">
        <f t="shared" si="19"/>
        <v>3755245.5874457671</v>
      </c>
      <c r="K322" s="1">
        <f t="shared" si="19"/>
        <v>4023477.4151204652</v>
      </c>
    </row>
    <row r="323" spans="1:11" x14ac:dyDescent="0.25">
      <c r="A323" t="s">
        <v>304</v>
      </c>
      <c r="B323" t="s">
        <v>338</v>
      </c>
      <c r="C323" t="s">
        <v>351</v>
      </c>
      <c r="D323" s="1">
        <v>9600092</v>
      </c>
      <c r="E323" s="1">
        <f t="shared" si="17"/>
        <v>10478807.677974474</v>
      </c>
      <c r="F323" s="1">
        <f t="shared" si="18"/>
        <v>11975780.203399399</v>
      </c>
      <c r="G323" s="1">
        <f t="shared" si="18"/>
        <v>13173358.223739337</v>
      </c>
      <c r="H323" s="1">
        <f t="shared" si="18"/>
        <v>14370936.244079279</v>
      </c>
      <c r="I323" s="1">
        <f t="shared" ref="I323" si="20">I$1/SUM($D$3:$D$696)*$D323</f>
        <v>15568514.264419219</v>
      </c>
      <c r="J323" s="1">
        <f t="shared" si="19"/>
        <v>16766092.284759156</v>
      </c>
      <c r="K323" s="1">
        <f t="shared" si="19"/>
        <v>17963670.305099096</v>
      </c>
    </row>
    <row r="324" spans="1:11" x14ac:dyDescent="0.25">
      <c r="A324" t="s">
        <v>304</v>
      </c>
      <c r="B324" t="s">
        <v>338</v>
      </c>
      <c r="C324" t="s">
        <v>352</v>
      </c>
      <c r="D324" s="1">
        <v>3549007</v>
      </c>
      <c r="E324" s="1">
        <f t="shared" ref="E324:E387" si="21">$E$1/SUM($D$3:$D$696)*D324</f>
        <v>3873854.729807293</v>
      </c>
      <c r="F324" s="1">
        <f t="shared" ref="F324:I387" si="22">F$1/SUM($D$3:$D$696)*$D324</f>
        <v>4427262.5483511919</v>
      </c>
      <c r="G324" s="1">
        <f t="shared" si="22"/>
        <v>4869988.8031863105</v>
      </c>
      <c r="H324" s="1">
        <f t="shared" si="22"/>
        <v>5312715.0580214299</v>
      </c>
      <c r="I324" s="1">
        <f t="shared" si="22"/>
        <v>5755441.3128565494</v>
      </c>
      <c r="J324" s="1">
        <f t="shared" ref="J324:K387" si="23">J$1/SUM($D$3:$D$696)*$D324</f>
        <v>6198167.5676916679</v>
      </c>
      <c r="K324" s="1">
        <f t="shared" si="23"/>
        <v>6640893.8225267874</v>
      </c>
    </row>
    <row r="325" spans="1:11" x14ac:dyDescent="0.25">
      <c r="A325" t="s">
        <v>304</v>
      </c>
      <c r="B325" t="s">
        <v>338</v>
      </c>
      <c r="C325" t="s">
        <v>353</v>
      </c>
      <c r="D325" s="1">
        <v>3277832</v>
      </c>
      <c r="E325" s="1">
        <f t="shared" si="21"/>
        <v>3577858.538096346</v>
      </c>
      <c r="F325" s="1">
        <f t="shared" si="22"/>
        <v>4088981.186395824</v>
      </c>
      <c r="G325" s="1">
        <f t="shared" si="22"/>
        <v>4497879.3050354058</v>
      </c>
      <c r="H325" s="1">
        <f t="shared" si="22"/>
        <v>4906777.4236749886</v>
      </c>
      <c r="I325" s="1">
        <f t="shared" si="22"/>
        <v>5315675.5423145713</v>
      </c>
      <c r="J325" s="1">
        <f t="shared" si="23"/>
        <v>5724573.6609541532</v>
      </c>
      <c r="K325" s="1">
        <f t="shared" si="23"/>
        <v>6133471.7795937359</v>
      </c>
    </row>
    <row r="326" spans="1:11" x14ac:dyDescent="0.25">
      <c r="A326" t="s">
        <v>304</v>
      </c>
      <c r="B326" t="s">
        <v>355</v>
      </c>
      <c r="C326" t="s">
        <v>354</v>
      </c>
      <c r="D326" s="1">
        <v>2515116</v>
      </c>
      <c r="E326" s="1">
        <f t="shared" si="21"/>
        <v>2745329.6126533421</v>
      </c>
      <c r="F326" s="1">
        <f t="shared" si="22"/>
        <v>3137519.5573181054</v>
      </c>
      <c r="G326" s="1">
        <f t="shared" si="22"/>
        <v>3451271.5130499154</v>
      </c>
      <c r="H326" s="1">
        <f t="shared" si="22"/>
        <v>3765023.468781726</v>
      </c>
      <c r="I326" s="1">
        <f t="shared" si="22"/>
        <v>4078775.4245135365</v>
      </c>
      <c r="J326" s="1">
        <f t="shared" si="23"/>
        <v>4392527.3802453466</v>
      </c>
      <c r="K326" s="1">
        <f t="shared" si="23"/>
        <v>4706279.3359771576</v>
      </c>
    </row>
    <row r="327" spans="1:11" x14ac:dyDescent="0.25">
      <c r="A327" t="s">
        <v>304</v>
      </c>
      <c r="B327" t="s">
        <v>355</v>
      </c>
      <c r="C327" t="s">
        <v>356</v>
      </c>
      <c r="D327" s="1">
        <v>3211338</v>
      </c>
      <c r="E327" s="1">
        <f t="shared" si="21"/>
        <v>3505278.2088933308</v>
      </c>
      <c r="F327" s="1">
        <f t="shared" si="22"/>
        <v>4006032.2387352348</v>
      </c>
      <c r="G327" s="1">
        <f t="shared" si="22"/>
        <v>4406635.4626087584</v>
      </c>
      <c r="H327" s="1">
        <f t="shared" si="22"/>
        <v>4807238.6864822814</v>
      </c>
      <c r="I327" s="1">
        <f t="shared" si="22"/>
        <v>5207841.9103558054</v>
      </c>
      <c r="J327" s="1">
        <f t="shared" si="23"/>
        <v>5608445.1342293285</v>
      </c>
      <c r="K327" s="1">
        <f t="shared" si="23"/>
        <v>6009048.3581028525</v>
      </c>
    </row>
    <row r="328" spans="1:11" x14ac:dyDescent="0.25">
      <c r="A328" t="s">
        <v>304</v>
      </c>
      <c r="B328" t="s">
        <v>355</v>
      </c>
      <c r="C328" t="s">
        <v>357</v>
      </c>
      <c r="D328" s="1">
        <v>11695886</v>
      </c>
      <c r="E328" s="1">
        <f t="shared" si="21"/>
        <v>12766433.906832784</v>
      </c>
      <c r="F328" s="1">
        <f t="shared" si="22"/>
        <v>14590210.179237468</v>
      </c>
      <c r="G328" s="1">
        <f t="shared" si="22"/>
        <v>16049231.197161213</v>
      </c>
      <c r="H328" s="1">
        <f t="shared" si="22"/>
        <v>17508252.215084963</v>
      </c>
      <c r="I328" s="1">
        <f t="shared" si="22"/>
        <v>18967273.233008709</v>
      </c>
      <c r="J328" s="1">
        <f t="shared" si="23"/>
        <v>20426294.250932455</v>
      </c>
      <c r="K328" s="1">
        <f t="shared" si="23"/>
        <v>21885315.268856201</v>
      </c>
    </row>
    <row r="329" spans="1:11" x14ac:dyDescent="0.25">
      <c r="A329" t="s">
        <v>304</v>
      </c>
      <c r="B329" t="s">
        <v>355</v>
      </c>
      <c r="C329" t="s">
        <v>358</v>
      </c>
      <c r="D329" s="1">
        <v>4661614</v>
      </c>
      <c r="E329" s="1">
        <f t="shared" si="21"/>
        <v>5088300.8803408658</v>
      </c>
      <c r="F329" s="1">
        <f t="shared" si="22"/>
        <v>5815201.0061038462</v>
      </c>
      <c r="G329" s="1">
        <f t="shared" si="22"/>
        <v>6396721.10671423</v>
      </c>
      <c r="H329" s="1">
        <f t="shared" si="22"/>
        <v>6978241.2073246157</v>
      </c>
      <c r="I329" s="1">
        <f t="shared" si="22"/>
        <v>7559761.3079350004</v>
      </c>
      <c r="J329" s="1">
        <f t="shared" si="23"/>
        <v>8141281.4085453842</v>
      </c>
      <c r="K329" s="1">
        <f t="shared" si="23"/>
        <v>8722801.5091557689</v>
      </c>
    </row>
    <row r="330" spans="1:11" x14ac:dyDescent="0.25">
      <c r="A330" t="s">
        <v>304</v>
      </c>
      <c r="B330" t="s">
        <v>355</v>
      </c>
      <c r="C330" t="s">
        <v>359</v>
      </c>
      <c r="D330" s="1">
        <v>2321597</v>
      </c>
      <c r="E330" s="1">
        <f t="shared" si="21"/>
        <v>2534097.4303957196</v>
      </c>
      <c r="F330" s="1">
        <f t="shared" si="22"/>
        <v>2896111.3490236797</v>
      </c>
      <c r="G330" s="1">
        <f t="shared" si="22"/>
        <v>3185722.4839260471</v>
      </c>
      <c r="H330" s="1">
        <f t="shared" si="22"/>
        <v>3475333.6188284154</v>
      </c>
      <c r="I330" s="1">
        <f t="shared" si="22"/>
        <v>3764944.7537307837</v>
      </c>
      <c r="J330" s="1">
        <f t="shared" si="23"/>
        <v>4054555.8886331511</v>
      </c>
      <c r="K330" s="1">
        <f t="shared" si="23"/>
        <v>4344167.0235355189</v>
      </c>
    </row>
    <row r="331" spans="1:11" x14ac:dyDescent="0.25">
      <c r="A331" t="s">
        <v>304</v>
      </c>
      <c r="B331" t="s">
        <v>355</v>
      </c>
      <c r="C331" t="s">
        <v>360</v>
      </c>
      <c r="D331" s="1">
        <v>2854777</v>
      </c>
      <c r="E331" s="1">
        <f t="shared" si="21"/>
        <v>3116080.4653231381</v>
      </c>
      <c r="F331" s="1">
        <f t="shared" si="22"/>
        <v>3561234.8175121578</v>
      </c>
      <c r="G331" s="1">
        <f t="shared" si="22"/>
        <v>3917358.299263373</v>
      </c>
      <c r="H331" s="1">
        <f t="shared" si="22"/>
        <v>4273481.7810145896</v>
      </c>
      <c r="I331" s="1">
        <f t="shared" si="22"/>
        <v>4629605.2627658052</v>
      </c>
      <c r="J331" s="1">
        <f t="shared" si="23"/>
        <v>4985728.7445170209</v>
      </c>
      <c r="K331" s="1">
        <f t="shared" si="23"/>
        <v>5341852.2262682365</v>
      </c>
    </row>
    <row r="332" spans="1:11" x14ac:dyDescent="0.25">
      <c r="A332" t="s">
        <v>304</v>
      </c>
      <c r="B332" t="s">
        <v>355</v>
      </c>
      <c r="C332" t="s">
        <v>361</v>
      </c>
      <c r="D332" s="1">
        <v>3884037</v>
      </c>
      <c r="E332" s="1">
        <f t="shared" si="21"/>
        <v>4239550.6977575785</v>
      </c>
      <c r="F332" s="1">
        <f t="shared" si="22"/>
        <v>4845200.797437232</v>
      </c>
      <c r="G332" s="1">
        <f t="shared" si="22"/>
        <v>5329720.8771809544</v>
      </c>
      <c r="H332" s="1">
        <f t="shared" si="22"/>
        <v>5814240.9569246778</v>
      </c>
      <c r="I332" s="1">
        <f t="shared" si="22"/>
        <v>6298761.0366684012</v>
      </c>
      <c r="J332" s="1">
        <f t="shared" si="23"/>
        <v>6783281.1164121246</v>
      </c>
      <c r="K332" s="1">
        <f t="shared" si="23"/>
        <v>7267801.196155848</v>
      </c>
    </row>
    <row r="333" spans="1:11" x14ac:dyDescent="0.25">
      <c r="A333" t="s">
        <v>304</v>
      </c>
      <c r="B333" t="s">
        <v>355</v>
      </c>
      <c r="C333" t="s">
        <v>362</v>
      </c>
      <c r="D333" s="1">
        <v>7182421</v>
      </c>
      <c r="E333" s="1">
        <f t="shared" si="21"/>
        <v>7839842.4016400157</v>
      </c>
      <c r="F333" s="1">
        <f t="shared" si="22"/>
        <v>8959819.8875885885</v>
      </c>
      <c r="G333" s="1">
        <f t="shared" si="22"/>
        <v>9855801.8763474468</v>
      </c>
      <c r="H333" s="1">
        <f t="shared" si="22"/>
        <v>10751783.865106307</v>
      </c>
      <c r="I333" s="1">
        <f t="shared" si="22"/>
        <v>11647765.853865165</v>
      </c>
      <c r="J333" s="1">
        <f t="shared" si="23"/>
        <v>12543747.842624024</v>
      </c>
      <c r="K333" s="1">
        <f t="shared" si="23"/>
        <v>13439729.831382884</v>
      </c>
    </row>
    <row r="334" spans="1:11" x14ac:dyDescent="0.25">
      <c r="A334" t="s">
        <v>229</v>
      </c>
      <c r="B334" t="s">
        <v>245</v>
      </c>
      <c r="C334" t="s">
        <v>363</v>
      </c>
      <c r="D334" s="1">
        <v>3949279</v>
      </c>
      <c r="E334" s="1">
        <f t="shared" si="21"/>
        <v>4310764.4288891563</v>
      </c>
      <c r="F334" s="1">
        <f t="shared" si="22"/>
        <v>4926587.9187304638</v>
      </c>
      <c r="G334" s="1">
        <f t="shared" si="22"/>
        <v>5419246.71060351</v>
      </c>
      <c r="H334" s="1">
        <f t="shared" si="22"/>
        <v>5911905.5024765562</v>
      </c>
      <c r="I334" s="1">
        <f t="shared" si="22"/>
        <v>6404564.2943496024</v>
      </c>
      <c r="J334" s="1">
        <f t="shared" si="23"/>
        <v>6897223.0862226486</v>
      </c>
      <c r="K334" s="1">
        <f t="shared" si="23"/>
        <v>7389881.8780956948</v>
      </c>
    </row>
    <row r="335" spans="1:11" x14ac:dyDescent="0.25">
      <c r="A335" t="s">
        <v>304</v>
      </c>
      <c r="B335" t="s">
        <v>338</v>
      </c>
      <c r="C335" t="s">
        <v>364</v>
      </c>
      <c r="D335" s="1">
        <v>4374552</v>
      </c>
      <c r="E335" s="1">
        <f t="shared" si="21"/>
        <v>4774963.5196515406</v>
      </c>
      <c r="F335" s="1">
        <f t="shared" si="22"/>
        <v>5457101.1653160462</v>
      </c>
      <c r="G335" s="1">
        <f t="shared" si="22"/>
        <v>6002811.2818476493</v>
      </c>
      <c r="H335" s="1">
        <f t="shared" si="22"/>
        <v>6548521.3983792542</v>
      </c>
      <c r="I335" s="1">
        <f t="shared" si="22"/>
        <v>7094231.5149108591</v>
      </c>
      <c r="J335" s="1">
        <f t="shared" si="23"/>
        <v>7639941.631442463</v>
      </c>
      <c r="K335" s="1">
        <f t="shared" si="23"/>
        <v>8185651.7479740679</v>
      </c>
    </row>
    <row r="336" spans="1:11" x14ac:dyDescent="0.25">
      <c r="A336" t="s">
        <v>304</v>
      </c>
      <c r="B336" t="s">
        <v>355</v>
      </c>
      <c r="C336" t="s">
        <v>365</v>
      </c>
      <c r="D336" s="1">
        <v>3460772</v>
      </c>
      <c r="E336" s="1">
        <f t="shared" si="21"/>
        <v>3777543.4032631228</v>
      </c>
      <c r="F336" s="1">
        <f t="shared" si="22"/>
        <v>4317192.4608721398</v>
      </c>
      <c r="G336" s="1">
        <f t="shared" si="22"/>
        <v>4748911.7069593538</v>
      </c>
      <c r="H336" s="1">
        <f t="shared" si="22"/>
        <v>5180630.9530465677</v>
      </c>
      <c r="I336" s="1">
        <f t="shared" si="22"/>
        <v>5612350.1991337817</v>
      </c>
      <c r="J336" s="1">
        <f t="shared" si="23"/>
        <v>6044069.4452209957</v>
      </c>
      <c r="K336" s="1">
        <f t="shared" si="23"/>
        <v>6475788.6913082097</v>
      </c>
    </row>
    <row r="337" spans="1:11" x14ac:dyDescent="0.25">
      <c r="A337" t="s">
        <v>304</v>
      </c>
      <c r="B337" t="s">
        <v>355</v>
      </c>
      <c r="C337" t="s">
        <v>366</v>
      </c>
      <c r="D337" s="1">
        <v>2197775</v>
      </c>
      <c r="E337" s="1">
        <f t="shared" si="21"/>
        <v>2398941.7543561407</v>
      </c>
      <c r="F337" s="1">
        <f t="shared" si="22"/>
        <v>2741647.7192641608</v>
      </c>
      <c r="G337" s="1">
        <f t="shared" si="22"/>
        <v>3015812.4911905765</v>
      </c>
      <c r="H337" s="1">
        <f t="shared" si="22"/>
        <v>3289977.2631169925</v>
      </c>
      <c r="I337" s="1">
        <f t="shared" si="22"/>
        <v>3564142.0350434086</v>
      </c>
      <c r="J337" s="1">
        <f t="shared" si="23"/>
        <v>3838306.8069698247</v>
      </c>
      <c r="K337" s="1">
        <f t="shared" si="23"/>
        <v>4112471.5788962408</v>
      </c>
    </row>
    <row r="338" spans="1:11" x14ac:dyDescent="0.25">
      <c r="A338" t="s">
        <v>304</v>
      </c>
      <c r="B338" t="s">
        <v>355</v>
      </c>
      <c r="C338" t="s">
        <v>367</v>
      </c>
      <c r="D338" s="1">
        <v>3630272</v>
      </c>
      <c r="E338" s="1">
        <f t="shared" si="21"/>
        <v>3962558.0782700572</v>
      </c>
      <c r="F338" s="1">
        <f t="shared" si="22"/>
        <v>4528637.8037372082</v>
      </c>
      <c r="G338" s="1">
        <f t="shared" si="22"/>
        <v>4981501.5841109287</v>
      </c>
      <c r="H338" s="1">
        <f t="shared" si="22"/>
        <v>5434365.3644846501</v>
      </c>
      <c r="I338" s="1">
        <f t="shared" si="22"/>
        <v>5887229.1448583705</v>
      </c>
      <c r="J338" s="1">
        <f t="shared" si="23"/>
        <v>6340092.925232091</v>
      </c>
      <c r="K338" s="1">
        <f t="shared" si="23"/>
        <v>6792956.7056058124</v>
      </c>
    </row>
    <row r="339" spans="1:11" x14ac:dyDescent="0.25">
      <c r="A339" t="s">
        <v>304</v>
      </c>
      <c r="B339" t="s">
        <v>355</v>
      </c>
      <c r="C339" t="s">
        <v>368</v>
      </c>
      <c r="D339" s="1">
        <v>3249209</v>
      </c>
      <c r="E339" s="1">
        <f t="shared" si="21"/>
        <v>3546615.6174903079</v>
      </c>
      <c r="F339" s="1">
        <f t="shared" si="22"/>
        <v>4053274.9914174946</v>
      </c>
      <c r="G339" s="1">
        <f t="shared" si="22"/>
        <v>4458602.4905592436</v>
      </c>
      <c r="H339" s="1">
        <f t="shared" si="22"/>
        <v>4863929.9897009935</v>
      </c>
      <c r="I339" s="1">
        <f t="shared" si="22"/>
        <v>5269257.4888427425</v>
      </c>
      <c r="J339" s="1">
        <f t="shared" si="23"/>
        <v>5674584.9879844915</v>
      </c>
      <c r="K339" s="1">
        <f t="shared" si="23"/>
        <v>6079912.4871262414</v>
      </c>
    </row>
    <row r="340" spans="1:11" x14ac:dyDescent="0.25">
      <c r="A340" t="s">
        <v>304</v>
      </c>
      <c r="B340" t="s">
        <v>355</v>
      </c>
      <c r="C340" t="s">
        <v>369</v>
      </c>
      <c r="D340" s="1">
        <v>2616725</v>
      </c>
      <c r="E340" s="1">
        <f t="shared" si="21"/>
        <v>2856239.0882449625</v>
      </c>
      <c r="F340" s="1">
        <f t="shared" si="22"/>
        <v>3264273.2437085281</v>
      </c>
      <c r="G340" s="1">
        <f t="shared" si="22"/>
        <v>3590700.5680793808</v>
      </c>
      <c r="H340" s="1">
        <f t="shared" si="22"/>
        <v>3917127.8924502339</v>
      </c>
      <c r="I340" s="1">
        <f t="shared" si="22"/>
        <v>4243555.2168210866</v>
      </c>
      <c r="J340" s="1">
        <f t="shared" si="23"/>
        <v>4569982.5411919393</v>
      </c>
      <c r="K340" s="1">
        <f t="shared" si="23"/>
        <v>4896409.8655627919</v>
      </c>
    </row>
    <row r="341" spans="1:11" x14ac:dyDescent="0.25">
      <c r="A341" t="s">
        <v>304</v>
      </c>
      <c r="B341" t="s">
        <v>370</v>
      </c>
      <c r="C341" t="s">
        <v>371</v>
      </c>
      <c r="D341" s="1">
        <v>3706036</v>
      </c>
      <c r="E341" s="1">
        <f t="shared" si="21"/>
        <v>4045256.9091681424</v>
      </c>
      <c r="F341" s="1">
        <f t="shared" si="22"/>
        <v>4623150.7533350196</v>
      </c>
      <c r="G341" s="1">
        <f t="shared" si="22"/>
        <v>5085465.8286685208</v>
      </c>
      <c r="H341" s="1">
        <f t="shared" si="22"/>
        <v>5547780.9040020229</v>
      </c>
      <c r="I341" s="1">
        <f t="shared" si="22"/>
        <v>6010095.9793355251</v>
      </c>
      <c r="J341" s="1">
        <f t="shared" si="23"/>
        <v>6472411.0546690272</v>
      </c>
      <c r="K341" s="1">
        <f t="shared" si="23"/>
        <v>6934726.1300025294</v>
      </c>
    </row>
    <row r="342" spans="1:11" x14ac:dyDescent="0.25">
      <c r="A342" t="s">
        <v>304</v>
      </c>
      <c r="B342" t="s">
        <v>370</v>
      </c>
      <c r="C342" t="s">
        <v>372</v>
      </c>
      <c r="D342" s="1">
        <v>3248235</v>
      </c>
      <c r="E342" s="1">
        <f t="shared" si="21"/>
        <v>3545552.4653165215</v>
      </c>
      <c r="F342" s="1">
        <f t="shared" si="22"/>
        <v>4052059.9603617392</v>
      </c>
      <c r="G342" s="1">
        <f t="shared" si="22"/>
        <v>4457265.9563979125</v>
      </c>
      <c r="H342" s="1">
        <f t="shared" si="22"/>
        <v>4862471.9524340862</v>
      </c>
      <c r="I342" s="1">
        <f t="shared" si="22"/>
        <v>5267677.9484702609</v>
      </c>
      <c r="J342" s="1">
        <f t="shared" si="23"/>
        <v>5672883.9445064338</v>
      </c>
      <c r="K342" s="1">
        <f t="shared" si="23"/>
        <v>6078089.9405426085</v>
      </c>
    </row>
    <row r="343" spans="1:11" x14ac:dyDescent="0.25">
      <c r="A343" t="s">
        <v>304</v>
      </c>
      <c r="B343" t="s">
        <v>370</v>
      </c>
      <c r="C343" t="s">
        <v>373</v>
      </c>
      <c r="D343" s="1">
        <v>5716999</v>
      </c>
      <c r="E343" s="1">
        <f t="shared" si="21"/>
        <v>6240287.3864305047</v>
      </c>
      <c r="F343" s="1">
        <f t="shared" si="22"/>
        <v>7131757.0130634336</v>
      </c>
      <c r="G343" s="1">
        <f t="shared" si="22"/>
        <v>7844932.7143697757</v>
      </c>
      <c r="H343" s="1">
        <f t="shared" si="22"/>
        <v>8558108.4156761188</v>
      </c>
      <c r="I343" s="1">
        <f t="shared" si="22"/>
        <v>9271284.1169824637</v>
      </c>
      <c r="J343" s="1">
        <f t="shared" si="23"/>
        <v>9984459.818288805</v>
      </c>
      <c r="K343" s="1">
        <f t="shared" si="23"/>
        <v>10697635.51959515</v>
      </c>
    </row>
    <row r="344" spans="1:11" x14ac:dyDescent="0.25">
      <c r="A344" t="s">
        <v>304</v>
      </c>
      <c r="B344" t="s">
        <v>370</v>
      </c>
      <c r="C344" t="s">
        <v>374</v>
      </c>
      <c r="D344" s="1">
        <v>4200929</v>
      </c>
      <c r="E344" s="1">
        <f t="shared" si="21"/>
        <v>4585448.4581841128</v>
      </c>
      <c r="F344" s="1">
        <f t="shared" si="22"/>
        <v>5240512.5236389851</v>
      </c>
      <c r="G344" s="1">
        <f t="shared" si="22"/>
        <v>5764563.776002883</v>
      </c>
      <c r="H344" s="1">
        <f t="shared" si="22"/>
        <v>6288615.0283667818</v>
      </c>
      <c r="I344" s="1">
        <f t="shared" si="22"/>
        <v>6812666.2807306806</v>
      </c>
      <c r="J344" s="1">
        <f t="shared" si="23"/>
        <v>7336717.5330945784</v>
      </c>
      <c r="K344" s="1">
        <f t="shared" si="23"/>
        <v>7860768.7854584772</v>
      </c>
    </row>
    <row r="345" spans="1:11" x14ac:dyDescent="0.25">
      <c r="A345" t="s">
        <v>304</v>
      </c>
      <c r="B345" t="s">
        <v>370</v>
      </c>
      <c r="C345" t="s">
        <v>375</v>
      </c>
      <c r="D345" s="1">
        <v>1730161</v>
      </c>
      <c r="E345" s="1">
        <f t="shared" si="21"/>
        <v>1888526.1069302247</v>
      </c>
      <c r="F345" s="1">
        <f t="shared" si="22"/>
        <v>2158315.5507773994</v>
      </c>
      <c r="G345" s="1">
        <f t="shared" si="22"/>
        <v>2374147.1058551394</v>
      </c>
      <c r="H345" s="1">
        <f t="shared" si="22"/>
        <v>2589978.6609328794</v>
      </c>
      <c r="I345" s="1">
        <f t="shared" si="22"/>
        <v>2805810.2160106194</v>
      </c>
      <c r="J345" s="1">
        <f t="shared" si="23"/>
        <v>3021641.7710883589</v>
      </c>
      <c r="K345" s="1">
        <f t="shared" si="23"/>
        <v>3237473.3261660994</v>
      </c>
    </row>
    <row r="346" spans="1:11" x14ac:dyDescent="0.25">
      <c r="A346" t="s">
        <v>304</v>
      </c>
      <c r="B346" t="s">
        <v>370</v>
      </c>
      <c r="C346" t="s">
        <v>376</v>
      </c>
      <c r="D346" s="1">
        <v>3508819</v>
      </c>
      <c r="E346" s="1">
        <f t="shared" si="21"/>
        <v>3829988.2415525517</v>
      </c>
      <c r="F346" s="1">
        <f t="shared" si="22"/>
        <v>4377129.4189172015</v>
      </c>
      <c r="G346" s="1">
        <f t="shared" si="22"/>
        <v>4814842.360808921</v>
      </c>
      <c r="H346" s="1">
        <f t="shared" si="22"/>
        <v>5252555.3027006416</v>
      </c>
      <c r="I346" s="1">
        <f t="shared" si="22"/>
        <v>5690268.2445923621</v>
      </c>
      <c r="J346" s="1">
        <f t="shared" si="23"/>
        <v>6127981.1864840817</v>
      </c>
      <c r="K346" s="1">
        <f t="shared" si="23"/>
        <v>6565694.1283758022</v>
      </c>
    </row>
    <row r="347" spans="1:11" x14ac:dyDescent="0.25">
      <c r="A347" t="s">
        <v>304</v>
      </c>
      <c r="B347" t="s">
        <v>370</v>
      </c>
      <c r="C347" t="s">
        <v>377</v>
      </c>
      <c r="D347" s="1">
        <v>4261302</v>
      </c>
      <c r="E347" s="1">
        <f t="shared" si="21"/>
        <v>4651347.5199787654</v>
      </c>
      <c r="F347" s="1">
        <f t="shared" si="22"/>
        <v>5315825.7371185888</v>
      </c>
      <c r="G347" s="1">
        <f t="shared" si="22"/>
        <v>5847408.3108304469</v>
      </c>
      <c r="H347" s="1">
        <f t="shared" si="22"/>
        <v>6378990.884542306</v>
      </c>
      <c r="I347" s="1">
        <f t="shared" si="22"/>
        <v>6910573.458254165</v>
      </c>
      <c r="J347" s="1">
        <f t="shared" si="23"/>
        <v>7442156.0319660231</v>
      </c>
      <c r="K347" s="1">
        <f t="shared" si="23"/>
        <v>7973738.6056778822</v>
      </c>
    </row>
    <row r="348" spans="1:11" x14ac:dyDescent="0.25">
      <c r="A348" t="s">
        <v>304</v>
      </c>
      <c r="B348" t="s">
        <v>370</v>
      </c>
      <c r="C348" t="s">
        <v>378</v>
      </c>
      <c r="D348" s="1">
        <v>6518989</v>
      </c>
      <c r="E348" s="1">
        <f t="shared" si="21"/>
        <v>7115685.1398748206</v>
      </c>
      <c r="F348" s="1">
        <f t="shared" si="22"/>
        <v>8132211.588428366</v>
      </c>
      <c r="G348" s="1">
        <f t="shared" si="22"/>
        <v>8945432.7472712006</v>
      </c>
      <c r="H348" s="1">
        <f t="shared" si="22"/>
        <v>9758653.9061140381</v>
      </c>
      <c r="I348" s="1">
        <f t="shared" si="22"/>
        <v>10571875.064956876</v>
      </c>
      <c r="J348" s="1">
        <f t="shared" si="23"/>
        <v>11385096.223799711</v>
      </c>
      <c r="K348" s="1">
        <f t="shared" si="23"/>
        <v>12198317.382642549</v>
      </c>
    </row>
    <row r="349" spans="1:11" x14ac:dyDescent="0.25">
      <c r="A349" t="s">
        <v>304</v>
      </c>
      <c r="B349" t="s">
        <v>370</v>
      </c>
      <c r="C349" t="s">
        <v>379</v>
      </c>
      <c r="D349" s="1">
        <v>3305778</v>
      </c>
      <c r="E349" s="1">
        <f t="shared" si="21"/>
        <v>3608362.4915343625</v>
      </c>
      <c r="F349" s="1">
        <f t="shared" si="22"/>
        <v>4123842.847467843</v>
      </c>
      <c r="G349" s="1">
        <f t="shared" si="22"/>
        <v>4536227.1322146263</v>
      </c>
      <c r="H349" s="1">
        <f t="shared" si="22"/>
        <v>4948611.416961411</v>
      </c>
      <c r="I349" s="1">
        <f t="shared" si="22"/>
        <v>5360995.7017081957</v>
      </c>
      <c r="J349" s="1">
        <f t="shared" si="23"/>
        <v>5773379.9864549795</v>
      </c>
      <c r="K349" s="1">
        <f t="shared" si="23"/>
        <v>6185764.2712017642</v>
      </c>
    </row>
    <row r="350" spans="1:11" x14ac:dyDescent="0.25">
      <c r="A350" t="s">
        <v>304</v>
      </c>
      <c r="B350" t="s">
        <v>370</v>
      </c>
      <c r="C350" t="s">
        <v>380</v>
      </c>
      <c r="D350" s="1">
        <v>1699999</v>
      </c>
      <c r="E350" s="1">
        <f t="shared" si="21"/>
        <v>1855603.3185670439</v>
      </c>
      <c r="F350" s="1">
        <f t="shared" si="22"/>
        <v>2120689.5069337641</v>
      </c>
      <c r="G350" s="1">
        <f t="shared" si="22"/>
        <v>2332758.4576271405</v>
      </c>
      <c r="H350" s="1">
        <f t="shared" si="22"/>
        <v>2544827.4083205168</v>
      </c>
      <c r="I350" s="1">
        <f t="shared" si="22"/>
        <v>2756896.3590138936</v>
      </c>
      <c r="J350" s="1">
        <f t="shared" si="23"/>
        <v>2968965.3097072695</v>
      </c>
      <c r="K350" s="1">
        <f t="shared" si="23"/>
        <v>3181034.2604006464</v>
      </c>
    </row>
    <row r="351" spans="1:11" x14ac:dyDescent="0.25">
      <c r="A351" t="s">
        <v>304</v>
      </c>
      <c r="B351" t="s">
        <v>370</v>
      </c>
      <c r="C351" t="s">
        <v>381</v>
      </c>
      <c r="D351" s="1">
        <v>1700000</v>
      </c>
      <c r="E351" s="1">
        <f t="shared" si="21"/>
        <v>1855604.4100990498</v>
      </c>
      <c r="F351" s="1">
        <f t="shared" si="22"/>
        <v>2120690.7543989141</v>
      </c>
      <c r="G351" s="1">
        <f t="shared" si="22"/>
        <v>2332759.8298388049</v>
      </c>
      <c r="H351" s="1">
        <f t="shared" si="22"/>
        <v>2544828.9052786967</v>
      </c>
      <c r="I351" s="1">
        <f t="shared" si="22"/>
        <v>2756897.980718588</v>
      </c>
      <c r="J351" s="1">
        <f t="shared" si="23"/>
        <v>2968967.0561584793</v>
      </c>
      <c r="K351" s="1">
        <f t="shared" si="23"/>
        <v>3181036.1315983706</v>
      </c>
    </row>
    <row r="352" spans="1:11" x14ac:dyDescent="0.25">
      <c r="A352" t="s">
        <v>304</v>
      </c>
      <c r="B352" t="s">
        <v>370</v>
      </c>
      <c r="C352" t="s">
        <v>382</v>
      </c>
      <c r="D352" s="1">
        <v>7996071</v>
      </c>
      <c r="E352" s="1">
        <f t="shared" si="21"/>
        <v>8727967.4182735998</v>
      </c>
      <c r="F352" s="1">
        <f t="shared" si="22"/>
        <v>9974819.9065983985</v>
      </c>
      <c r="G352" s="1">
        <f t="shared" si="22"/>
        <v>10972301.897258237</v>
      </c>
      <c r="H352" s="1">
        <f t="shared" si="22"/>
        <v>11969783.887918077</v>
      </c>
      <c r="I352" s="1">
        <f t="shared" si="22"/>
        <v>12967265.878577918</v>
      </c>
      <c r="J352" s="1">
        <f t="shared" si="23"/>
        <v>13964747.869237756</v>
      </c>
      <c r="K352" s="1">
        <f t="shared" si="23"/>
        <v>14962229.859897597</v>
      </c>
    </row>
    <row r="353" spans="1:11" x14ac:dyDescent="0.25">
      <c r="A353" t="s">
        <v>304</v>
      </c>
      <c r="B353" t="s">
        <v>370</v>
      </c>
      <c r="C353" t="s">
        <v>383</v>
      </c>
      <c r="D353" s="1">
        <v>3154720</v>
      </c>
      <c r="E353" s="1">
        <f t="shared" si="21"/>
        <v>3443477.8497809847</v>
      </c>
      <c r="F353" s="1">
        <f t="shared" si="22"/>
        <v>3935403.256892554</v>
      </c>
      <c r="G353" s="1">
        <f t="shared" si="22"/>
        <v>4328943.5825818088</v>
      </c>
      <c r="H353" s="1">
        <f t="shared" si="22"/>
        <v>4722483.908271065</v>
      </c>
      <c r="I353" s="1">
        <f t="shared" si="22"/>
        <v>5116024.2339603202</v>
      </c>
      <c r="J353" s="1">
        <f t="shared" si="23"/>
        <v>5509564.5596495755</v>
      </c>
      <c r="K353" s="1">
        <f t="shared" si="23"/>
        <v>5903104.8853388308</v>
      </c>
    </row>
    <row r="354" spans="1:11" x14ac:dyDescent="0.25">
      <c r="A354" t="s">
        <v>304</v>
      </c>
      <c r="B354" t="s">
        <v>370</v>
      </c>
      <c r="C354" t="s">
        <v>384</v>
      </c>
      <c r="D354" s="1">
        <v>1700000</v>
      </c>
      <c r="E354" s="1">
        <f t="shared" si="21"/>
        <v>1855604.4100990498</v>
      </c>
      <c r="F354" s="1">
        <f t="shared" si="22"/>
        <v>2120690.7543989141</v>
      </c>
      <c r="G354" s="1">
        <f t="shared" si="22"/>
        <v>2332759.8298388049</v>
      </c>
      <c r="H354" s="1">
        <f t="shared" si="22"/>
        <v>2544828.9052786967</v>
      </c>
      <c r="I354" s="1">
        <f t="shared" si="22"/>
        <v>2756897.980718588</v>
      </c>
      <c r="J354" s="1">
        <f t="shared" si="23"/>
        <v>2968967.0561584793</v>
      </c>
      <c r="K354" s="1">
        <f t="shared" si="23"/>
        <v>3181036.1315983706</v>
      </c>
    </row>
    <row r="355" spans="1:11" x14ac:dyDescent="0.25">
      <c r="A355" t="s">
        <v>304</v>
      </c>
      <c r="B355" t="s">
        <v>370</v>
      </c>
      <c r="C355" t="s">
        <v>385</v>
      </c>
      <c r="D355" s="1">
        <v>2180160</v>
      </c>
      <c r="E355" s="1">
        <f t="shared" si="21"/>
        <v>2379714.4180714968</v>
      </c>
      <c r="F355" s="1">
        <f t="shared" si="22"/>
        <v>2719673.620653139</v>
      </c>
      <c r="G355" s="1">
        <f t="shared" si="22"/>
        <v>2991640.9827184523</v>
      </c>
      <c r="H355" s="1">
        <f t="shared" si="22"/>
        <v>3263608.3447837667</v>
      </c>
      <c r="I355" s="1">
        <f t="shared" si="22"/>
        <v>3535575.7068490805</v>
      </c>
      <c r="J355" s="1">
        <f t="shared" si="23"/>
        <v>3807543.0689143944</v>
      </c>
      <c r="K355" s="1">
        <f t="shared" si="23"/>
        <v>4079510.4309797082</v>
      </c>
    </row>
    <row r="356" spans="1:11" x14ac:dyDescent="0.25">
      <c r="A356" t="s">
        <v>304</v>
      </c>
      <c r="B356" t="s">
        <v>370</v>
      </c>
      <c r="C356" t="s">
        <v>386</v>
      </c>
      <c r="D356" s="1">
        <v>3591104</v>
      </c>
      <c r="E356" s="1">
        <f t="shared" si="21"/>
        <v>3919804.952661375</v>
      </c>
      <c r="F356" s="1">
        <f t="shared" si="22"/>
        <v>4479777.0887558572</v>
      </c>
      <c r="G356" s="1">
        <f t="shared" si="22"/>
        <v>4927754.7976314425</v>
      </c>
      <c r="H356" s="1">
        <f t="shared" si="22"/>
        <v>5375732.5065070288</v>
      </c>
      <c r="I356" s="1">
        <f t="shared" si="22"/>
        <v>5823710.2153826142</v>
      </c>
      <c r="J356" s="1">
        <f t="shared" si="23"/>
        <v>6271687.9242581995</v>
      </c>
      <c r="K356" s="1">
        <f t="shared" si="23"/>
        <v>6719665.6331337858</v>
      </c>
    </row>
    <row r="357" spans="1:11" x14ac:dyDescent="0.25">
      <c r="A357" t="s">
        <v>387</v>
      </c>
      <c r="B357" t="s">
        <v>388</v>
      </c>
      <c r="C357" t="s">
        <v>389</v>
      </c>
      <c r="D357" s="1">
        <v>2479725</v>
      </c>
      <c r="E357" s="1">
        <f t="shared" si="21"/>
        <v>2706699.2034310978</v>
      </c>
      <c r="F357" s="1">
        <f t="shared" si="22"/>
        <v>3093370.5182069689</v>
      </c>
      <c r="G357" s="1">
        <f t="shared" si="22"/>
        <v>3402707.5700276652</v>
      </c>
      <c r="H357" s="1">
        <f t="shared" si="22"/>
        <v>3712044.6218483625</v>
      </c>
      <c r="I357" s="1">
        <f t="shared" si="22"/>
        <v>4021381.6736690593</v>
      </c>
      <c r="J357" s="1">
        <f t="shared" si="23"/>
        <v>4330718.7254897561</v>
      </c>
      <c r="K357" s="1">
        <f t="shared" si="23"/>
        <v>4640055.7773104524</v>
      </c>
    </row>
    <row r="358" spans="1:11" x14ac:dyDescent="0.25">
      <c r="A358" t="s">
        <v>387</v>
      </c>
      <c r="B358" t="s">
        <v>436</v>
      </c>
      <c r="C358" t="s">
        <v>390</v>
      </c>
      <c r="D358" s="1">
        <v>2076896</v>
      </c>
      <c r="E358" s="1">
        <f t="shared" si="21"/>
        <v>2266998.4570100447</v>
      </c>
      <c r="F358" s="1">
        <f t="shared" si="22"/>
        <v>2590855.379440051</v>
      </c>
      <c r="G358" s="1">
        <f t="shared" si="22"/>
        <v>2849940.9173840559</v>
      </c>
      <c r="H358" s="1">
        <f t="shared" si="22"/>
        <v>3109026.4553280612</v>
      </c>
      <c r="I358" s="1">
        <f t="shared" si="22"/>
        <v>3368111.9932720661</v>
      </c>
      <c r="J358" s="1">
        <f t="shared" si="23"/>
        <v>3627197.531216071</v>
      </c>
      <c r="K358" s="1">
        <f t="shared" si="23"/>
        <v>3886283.0691600763</v>
      </c>
    </row>
    <row r="359" spans="1:11" x14ac:dyDescent="0.25">
      <c r="A359" t="s">
        <v>387</v>
      </c>
      <c r="B359" t="s">
        <v>436</v>
      </c>
      <c r="C359" t="s">
        <v>391</v>
      </c>
      <c r="D359" s="1">
        <v>2024706</v>
      </c>
      <c r="E359" s="1">
        <f t="shared" si="21"/>
        <v>2210031.4016200039</v>
      </c>
      <c r="F359" s="1">
        <f t="shared" si="22"/>
        <v>2525750.1732800044</v>
      </c>
      <c r="G359" s="1">
        <f t="shared" si="22"/>
        <v>2778325.1906080046</v>
      </c>
      <c r="H359" s="1">
        <f t="shared" si="22"/>
        <v>3030900.2079360052</v>
      </c>
      <c r="I359" s="1">
        <f t="shared" si="22"/>
        <v>3283475.2252640058</v>
      </c>
      <c r="J359" s="1">
        <f t="shared" si="23"/>
        <v>3536050.242592006</v>
      </c>
      <c r="K359" s="1">
        <f t="shared" si="23"/>
        <v>3788625.2599200062</v>
      </c>
    </row>
    <row r="360" spans="1:11" x14ac:dyDescent="0.25">
      <c r="A360" t="s">
        <v>387</v>
      </c>
      <c r="B360" t="s">
        <v>388</v>
      </c>
      <c r="C360" t="s">
        <v>392</v>
      </c>
      <c r="D360" s="1">
        <v>7797473</v>
      </c>
      <c r="E360" s="1">
        <f t="shared" si="21"/>
        <v>8511191.3449578043</v>
      </c>
      <c r="F360" s="1">
        <f t="shared" si="22"/>
        <v>9727075.8228089195</v>
      </c>
      <c r="G360" s="1">
        <f t="shared" si="22"/>
        <v>10699783.40508981</v>
      </c>
      <c r="H360" s="1">
        <f t="shared" si="22"/>
        <v>11672490.987370702</v>
      </c>
      <c r="I360" s="1">
        <f t="shared" si="22"/>
        <v>12645198.569651594</v>
      </c>
      <c r="J360" s="1">
        <f t="shared" si="23"/>
        <v>13617906.151932485</v>
      </c>
      <c r="K360" s="1">
        <f t="shared" si="23"/>
        <v>14590613.734213378</v>
      </c>
    </row>
    <row r="361" spans="1:11" x14ac:dyDescent="0.25">
      <c r="A361" t="s">
        <v>387</v>
      </c>
      <c r="B361" t="s">
        <v>388</v>
      </c>
      <c r="C361" t="s">
        <v>393</v>
      </c>
      <c r="D361" s="1">
        <v>6863743</v>
      </c>
      <c r="E361" s="1">
        <f t="shared" si="21"/>
        <v>7491995.1650508717</v>
      </c>
      <c r="F361" s="1">
        <f t="shared" si="22"/>
        <v>8562280.1886295676</v>
      </c>
      <c r="G361" s="1">
        <f t="shared" si="22"/>
        <v>9418508.2074925229</v>
      </c>
      <c r="H361" s="1">
        <f t="shared" si="22"/>
        <v>10274736.22635548</v>
      </c>
      <c r="I361" s="1">
        <f t="shared" si="22"/>
        <v>11130964.245218437</v>
      </c>
      <c r="J361" s="1">
        <f t="shared" si="23"/>
        <v>11987192.264081392</v>
      </c>
      <c r="K361" s="1">
        <f t="shared" si="23"/>
        <v>12843420.282944351</v>
      </c>
    </row>
    <row r="362" spans="1:11" x14ac:dyDescent="0.25">
      <c r="A362" t="s">
        <v>387</v>
      </c>
      <c r="B362" t="s">
        <v>388</v>
      </c>
      <c r="C362" t="s">
        <v>394</v>
      </c>
      <c r="D362" s="1">
        <v>3038348</v>
      </c>
      <c r="E362" s="1">
        <f t="shared" si="21"/>
        <v>3316454.0871856632</v>
      </c>
      <c r="F362" s="1">
        <f t="shared" si="22"/>
        <v>3790233.242497901</v>
      </c>
      <c r="G362" s="1">
        <f t="shared" si="22"/>
        <v>4169256.5667476906</v>
      </c>
      <c r="H362" s="1">
        <f t="shared" si="22"/>
        <v>4548279.8909974806</v>
      </c>
      <c r="I362" s="1">
        <f t="shared" si="22"/>
        <v>4927303.2152472707</v>
      </c>
      <c r="J362" s="1">
        <f t="shared" si="23"/>
        <v>5306326.5394970607</v>
      </c>
      <c r="K362" s="1">
        <f t="shared" si="23"/>
        <v>5685349.8637468508</v>
      </c>
    </row>
    <row r="363" spans="1:11" x14ac:dyDescent="0.25">
      <c r="A363" t="s">
        <v>387</v>
      </c>
      <c r="B363" t="s">
        <v>388</v>
      </c>
      <c r="C363" t="s">
        <v>395</v>
      </c>
      <c r="D363" s="1">
        <v>3905649</v>
      </c>
      <c r="E363" s="1">
        <f t="shared" si="21"/>
        <v>4263140.8874699669</v>
      </c>
      <c r="F363" s="1">
        <f t="shared" si="22"/>
        <v>4872161.0142513905</v>
      </c>
      <c r="G363" s="1">
        <f t="shared" si="22"/>
        <v>5359377.1156765288</v>
      </c>
      <c r="H363" s="1">
        <f t="shared" si="22"/>
        <v>5846593.217101668</v>
      </c>
      <c r="I363" s="1">
        <f t="shared" si="22"/>
        <v>6333809.3185268072</v>
      </c>
      <c r="J363" s="1">
        <f t="shared" si="23"/>
        <v>6821025.4199519465</v>
      </c>
      <c r="K363" s="1">
        <f t="shared" si="23"/>
        <v>7308241.5213770857</v>
      </c>
    </row>
    <row r="364" spans="1:11" x14ac:dyDescent="0.25">
      <c r="A364" t="s">
        <v>387</v>
      </c>
      <c r="B364" t="s">
        <v>388</v>
      </c>
      <c r="C364" t="s">
        <v>396</v>
      </c>
      <c r="D364" s="1">
        <v>6199825</v>
      </c>
      <c r="E364" s="1">
        <f t="shared" si="21"/>
        <v>6767307.4187307889</v>
      </c>
      <c r="F364" s="1">
        <f t="shared" si="22"/>
        <v>7734065.6214066157</v>
      </c>
      <c r="G364" s="1">
        <f t="shared" si="22"/>
        <v>8507472.183547277</v>
      </c>
      <c r="H364" s="1">
        <f t="shared" si="22"/>
        <v>9280878.7456879374</v>
      </c>
      <c r="I364" s="1">
        <f t="shared" si="22"/>
        <v>10054285.3078286</v>
      </c>
      <c r="J364" s="1">
        <f t="shared" si="23"/>
        <v>10827691.86996926</v>
      </c>
      <c r="K364" s="1">
        <f t="shared" si="23"/>
        <v>11601098.432109922</v>
      </c>
    </row>
    <row r="365" spans="1:11" x14ac:dyDescent="0.25">
      <c r="A365" t="s">
        <v>387</v>
      </c>
      <c r="B365" t="s">
        <v>436</v>
      </c>
      <c r="C365" t="s">
        <v>397</v>
      </c>
      <c r="D365" s="1">
        <v>3817373</v>
      </c>
      <c r="E365" s="1">
        <f t="shared" si="21"/>
        <v>4166784.8081135526</v>
      </c>
      <c r="F365" s="1">
        <f t="shared" si="22"/>
        <v>4762039.7807012033</v>
      </c>
      <c r="G365" s="1">
        <f t="shared" si="22"/>
        <v>5238243.7587713227</v>
      </c>
      <c r="H365" s="1">
        <f t="shared" si="22"/>
        <v>5714447.736841443</v>
      </c>
      <c r="I365" s="1">
        <f t="shared" si="22"/>
        <v>6190651.7149115643</v>
      </c>
      <c r="J365" s="1">
        <f t="shared" si="23"/>
        <v>6666855.6929816836</v>
      </c>
      <c r="K365" s="1">
        <f t="shared" si="23"/>
        <v>7143059.671051804</v>
      </c>
    </row>
    <row r="366" spans="1:11" x14ac:dyDescent="0.25">
      <c r="A366" t="s">
        <v>387</v>
      </c>
      <c r="B366" t="s">
        <v>388</v>
      </c>
      <c r="C366" t="s">
        <v>398</v>
      </c>
      <c r="D366" s="1">
        <v>2442643</v>
      </c>
      <c r="E366" s="1">
        <f t="shared" si="21"/>
        <v>2666223.0135868075</v>
      </c>
      <c r="F366" s="1">
        <f t="shared" si="22"/>
        <v>3047112.0155277802</v>
      </c>
      <c r="G366" s="1">
        <f t="shared" si="22"/>
        <v>3351823.2170805577</v>
      </c>
      <c r="H366" s="1">
        <f t="shared" si="22"/>
        <v>3656534.4186333362</v>
      </c>
      <c r="I366" s="1">
        <f t="shared" si="22"/>
        <v>3961245.6201861142</v>
      </c>
      <c r="J366" s="1">
        <f t="shared" si="23"/>
        <v>4265956.8217388922</v>
      </c>
      <c r="K366" s="1">
        <f t="shared" si="23"/>
        <v>4570668.0232916698</v>
      </c>
    </row>
    <row r="367" spans="1:11" x14ac:dyDescent="0.25">
      <c r="A367" t="s">
        <v>387</v>
      </c>
      <c r="B367" t="s">
        <v>388</v>
      </c>
      <c r="C367" t="s">
        <v>399</v>
      </c>
      <c r="D367" s="1">
        <v>2949246</v>
      </c>
      <c r="E367" s="1">
        <f t="shared" si="21"/>
        <v>3219196.4023923422</v>
      </c>
      <c r="F367" s="1">
        <f t="shared" si="22"/>
        <v>3679081.6027341057</v>
      </c>
      <c r="G367" s="1">
        <f t="shared" si="22"/>
        <v>4046989.7630075156</v>
      </c>
      <c r="H367" s="1">
        <f t="shared" si="22"/>
        <v>4414897.9232809264</v>
      </c>
      <c r="I367" s="1">
        <f t="shared" si="22"/>
        <v>4782806.0835543368</v>
      </c>
      <c r="J367" s="1">
        <f t="shared" si="23"/>
        <v>5150714.2438277472</v>
      </c>
      <c r="K367" s="1">
        <f t="shared" si="23"/>
        <v>5518622.4041011576</v>
      </c>
    </row>
    <row r="368" spans="1:11" x14ac:dyDescent="0.25">
      <c r="A368" t="s">
        <v>387</v>
      </c>
      <c r="B368" t="s">
        <v>388</v>
      </c>
      <c r="C368" t="s">
        <v>400</v>
      </c>
      <c r="D368" s="1">
        <v>2847843</v>
      </c>
      <c r="E368" s="1">
        <f t="shared" si="21"/>
        <v>3108511.7823939458</v>
      </c>
      <c r="F368" s="1">
        <f t="shared" si="22"/>
        <v>3552584.8941645096</v>
      </c>
      <c r="G368" s="1">
        <f t="shared" si="22"/>
        <v>3907843.3835809599</v>
      </c>
      <c r="H368" s="1">
        <f t="shared" si="22"/>
        <v>4263101.8729974115</v>
      </c>
      <c r="I368" s="1">
        <f t="shared" si="22"/>
        <v>4618360.3624138627</v>
      </c>
      <c r="J368" s="1">
        <f t="shared" si="23"/>
        <v>4973618.851830313</v>
      </c>
      <c r="K368" s="1">
        <f t="shared" si="23"/>
        <v>5328877.3412467642</v>
      </c>
    </row>
    <row r="369" spans="1:11" x14ac:dyDescent="0.25">
      <c r="A369" t="s">
        <v>387</v>
      </c>
      <c r="B369" t="s">
        <v>388</v>
      </c>
      <c r="C369" t="s">
        <v>401</v>
      </c>
      <c r="D369" s="1">
        <v>2066913</v>
      </c>
      <c r="E369" s="1">
        <f t="shared" si="21"/>
        <v>2256101.6929947394</v>
      </c>
      <c r="F369" s="1">
        <f t="shared" si="22"/>
        <v>2578401.9348511309</v>
      </c>
      <c r="G369" s="1">
        <f t="shared" si="22"/>
        <v>2836242.1283362438</v>
      </c>
      <c r="H369" s="1">
        <f t="shared" si="22"/>
        <v>3094082.3218213567</v>
      </c>
      <c r="I369" s="1">
        <f t="shared" si="22"/>
        <v>3351922.51530647</v>
      </c>
      <c r="J369" s="1">
        <f t="shared" si="23"/>
        <v>3609762.7087915828</v>
      </c>
      <c r="K369" s="1">
        <f t="shared" si="23"/>
        <v>3867602.9022766962</v>
      </c>
    </row>
    <row r="370" spans="1:11" x14ac:dyDescent="0.25">
      <c r="A370" t="s">
        <v>387</v>
      </c>
      <c r="B370" t="s">
        <v>388</v>
      </c>
      <c r="C370" t="s">
        <v>402</v>
      </c>
      <c r="D370" s="1">
        <v>2430753</v>
      </c>
      <c r="E370" s="1">
        <f t="shared" si="21"/>
        <v>2653244.6980361738</v>
      </c>
      <c r="F370" s="1">
        <f t="shared" si="22"/>
        <v>3032279.6548984842</v>
      </c>
      <c r="G370" s="1">
        <f t="shared" si="22"/>
        <v>3335507.6203883323</v>
      </c>
      <c r="H370" s="1">
        <f t="shared" si="22"/>
        <v>3638735.5858781808</v>
      </c>
      <c r="I370" s="1">
        <f t="shared" si="22"/>
        <v>3941963.5513680293</v>
      </c>
      <c r="J370" s="1">
        <f t="shared" si="23"/>
        <v>4245191.5168578774</v>
      </c>
      <c r="K370" s="1">
        <f t="shared" si="23"/>
        <v>4548419.4823477259</v>
      </c>
    </row>
    <row r="371" spans="1:11" x14ac:dyDescent="0.25">
      <c r="A371" t="s">
        <v>387</v>
      </c>
      <c r="B371" t="s">
        <v>388</v>
      </c>
      <c r="C371" t="s">
        <v>403</v>
      </c>
      <c r="D371" s="1">
        <v>2609337</v>
      </c>
      <c r="E371" s="1">
        <f t="shared" si="21"/>
        <v>2848174.8497850732</v>
      </c>
      <c r="F371" s="1">
        <f t="shared" si="22"/>
        <v>3255056.9711829405</v>
      </c>
      <c r="G371" s="1">
        <f t="shared" si="22"/>
        <v>3580562.668301234</v>
      </c>
      <c r="H371" s="1">
        <f t="shared" si="22"/>
        <v>3906068.3654195284</v>
      </c>
      <c r="I371" s="1">
        <f t="shared" si="22"/>
        <v>4231574.0625378229</v>
      </c>
      <c r="J371" s="1">
        <f t="shared" si="23"/>
        <v>4557079.7596561164</v>
      </c>
      <c r="K371" s="1">
        <f t="shared" si="23"/>
        <v>4882585.4567744108</v>
      </c>
    </row>
    <row r="372" spans="1:11" x14ac:dyDescent="0.25">
      <c r="A372" t="s">
        <v>387</v>
      </c>
      <c r="B372" t="s">
        <v>388</v>
      </c>
      <c r="C372" t="s">
        <v>404</v>
      </c>
      <c r="D372" s="1">
        <v>5722627</v>
      </c>
      <c r="E372" s="1">
        <f t="shared" si="21"/>
        <v>6246430.5285599381</v>
      </c>
      <c r="F372" s="1">
        <f t="shared" si="22"/>
        <v>7138777.7469256436</v>
      </c>
      <c r="G372" s="1">
        <f t="shared" si="22"/>
        <v>7852655.521618207</v>
      </c>
      <c r="H372" s="1">
        <f t="shared" si="22"/>
        <v>8566533.2963107713</v>
      </c>
      <c r="I372" s="1">
        <f t="shared" si="22"/>
        <v>9280411.0710033365</v>
      </c>
      <c r="J372" s="1">
        <f t="shared" si="23"/>
        <v>9994288.8456958998</v>
      </c>
      <c r="K372" s="1">
        <f t="shared" si="23"/>
        <v>10708166.620388465</v>
      </c>
    </row>
    <row r="373" spans="1:11" x14ac:dyDescent="0.25">
      <c r="A373" t="s">
        <v>387</v>
      </c>
      <c r="B373" t="s">
        <v>388</v>
      </c>
      <c r="C373" t="s">
        <v>405</v>
      </c>
      <c r="D373" s="1">
        <v>2576603</v>
      </c>
      <c r="E373" s="1">
        <f t="shared" si="21"/>
        <v>2812444.6411026129</v>
      </c>
      <c r="F373" s="1">
        <f t="shared" si="22"/>
        <v>3214222.4469744144</v>
      </c>
      <c r="G373" s="1">
        <f t="shared" si="22"/>
        <v>3535644.6916718557</v>
      </c>
      <c r="H373" s="1">
        <f t="shared" si="22"/>
        <v>3857066.9363692971</v>
      </c>
      <c r="I373" s="1">
        <f t="shared" si="22"/>
        <v>4178489.1810667389</v>
      </c>
      <c r="J373" s="1">
        <f t="shared" si="23"/>
        <v>4499911.4257641798</v>
      </c>
      <c r="K373" s="1">
        <f t="shared" si="23"/>
        <v>4821333.6704616221</v>
      </c>
    </row>
    <row r="374" spans="1:11" x14ac:dyDescent="0.25">
      <c r="A374" t="s">
        <v>387</v>
      </c>
      <c r="B374" t="s">
        <v>406</v>
      </c>
      <c r="C374" t="s">
        <v>407</v>
      </c>
      <c r="D374" s="1">
        <v>4454678</v>
      </c>
      <c r="E374" s="1">
        <f t="shared" si="21"/>
        <v>4862423.6131595382</v>
      </c>
      <c r="F374" s="1">
        <f t="shared" si="22"/>
        <v>5557055.557896615</v>
      </c>
      <c r="G374" s="1">
        <f t="shared" si="22"/>
        <v>6112761.1136862757</v>
      </c>
      <c r="H374" s="1">
        <f t="shared" si="22"/>
        <v>6668466.6694759373</v>
      </c>
      <c r="I374" s="1">
        <f t="shared" si="22"/>
        <v>7224172.2252655989</v>
      </c>
      <c r="J374" s="1">
        <f t="shared" si="23"/>
        <v>7779877.7810552595</v>
      </c>
      <c r="K374" s="1">
        <f t="shared" si="23"/>
        <v>8335583.336844922</v>
      </c>
    </row>
    <row r="375" spans="1:11" x14ac:dyDescent="0.25">
      <c r="A375" t="s">
        <v>387</v>
      </c>
      <c r="B375" t="s">
        <v>406</v>
      </c>
      <c r="C375" t="s">
        <v>408</v>
      </c>
      <c r="D375" s="1">
        <v>1995619</v>
      </c>
      <c r="E375" s="1">
        <f t="shared" si="21"/>
        <v>2178282.0101632089</v>
      </c>
      <c r="F375" s="1">
        <f t="shared" si="22"/>
        <v>2489465.1544722388</v>
      </c>
      <c r="G375" s="1">
        <f t="shared" si="22"/>
        <v>2738411.6699194624</v>
      </c>
      <c r="H375" s="1">
        <f t="shared" si="22"/>
        <v>2987358.1853666864</v>
      </c>
      <c r="I375" s="1">
        <f t="shared" si="22"/>
        <v>3236304.7008139105</v>
      </c>
      <c r="J375" s="1">
        <f t="shared" si="23"/>
        <v>3485251.216261134</v>
      </c>
      <c r="K375" s="1">
        <f t="shared" si="23"/>
        <v>3734197.731708358</v>
      </c>
    </row>
    <row r="376" spans="1:11" x14ac:dyDescent="0.25">
      <c r="A376" t="s">
        <v>387</v>
      </c>
      <c r="B376" t="s">
        <v>406</v>
      </c>
      <c r="C376" t="s">
        <v>409</v>
      </c>
      <c r="D376" s="1">
        <v>6897150</v>
      </c>
      <c r="E376" s="1">
        <f t="shared" si="21"/>
        <v>7528459.9747733297</v>
      </c>
      <c r="F376" s="1">
        <f t="shared" si="22"/>
        <v>8603954.2568838056</v>
      </c>
      <c r="G376" s="1">
        <f t="shared" si="22"/>
        <v>9464349.6825721841</v>
      </c>
      <c r="H376" s="1">
        <f t="shared" si="22"/>
        <v>10324745.108260566</v>
      </c>
      <c r="I376" s="1">
        <f t="shared" si="22"/>
        <v>11185140.533948947</v>
      </c>
      <c r="J376" s="1">
        <f t="shared" si="23"/>
        <v>12045535.959637327</v>
      </c>
      <c r="K376" s="1">
        <f t="shared" si="23"/>
        <v>12905931.385325707</v>
      </c>
    </row>
    <row r="377" spans="1:11" x14ac:dyDescent="0.25">
      <c r="A377" t="s">
        <v>387</v>
      </c>
      <c r="B377" t="s">
        <v>406</v>
      </c>
      <c r="C377" t="s">
        <v>410</v>
      </c>
      <c r="D377" s="1">
        <v>5703179</v>
      </c>
      <c r="E377" s="1">
        <f t="shared" si="21"/>
        <v>6225202.4141084049</v>
      </c>
      <c r="F377" s="1">
        <f t="shared" si="22"/>
        <v>7114517.0446953196</v>
      </c>
      <c r="G377" s="1">
        <f t="shared" si="22"/>
        <v>7825968.7491648505</v>
      </c>
      <c r="H377" s="1">
        <f t="shared" si="22"/>
        <v>8537420.4536343832</v>
      </c>
      <c r="I377" s="1">
        <f t="shared" si="22"/>
        <v>9248872.1581039149</v>
      </c>
      <c r="J377" s="1">
        <f t="shared" si="23"/>
        <v>9960323.8625734467</v>
      </c>
      <c r="K377" s="1">
        <f t="shared" si="23"/>
        <v>10671775.567042978</v>
      </c>
    </row>
    <row r="378" spans="1:11" x14ac:dyDescent="0.25">
      <c r="A378" t="s">
        <v>387</v>
      </c>
      <c r="B378" t="s">
        <v>436</v>
      </c>
      <c r="C378" t="s">
        <v>411</v>
      </c>
      <c r="D378" s="1">
        <v>2913891</v>
      </c>
      <c r="E378" s="1">
        <f t="shared" si="21"/>
        <v>3180605.2883223118</v>
      </c>
      <c r="F378" s="1">
        <f t="shared" si="22"/>
        <v>3634977.4723683563</v>
      </c>
      <c r="G378" s="1">
        <f t="shared" si="22"/>
        <v>3998475.2196051916</v>
      </c>
      <c r="H378" s="1">
        <f t="shared" si="22"/>
        <v>4361972.9668420274</v>
      </c>
      <c r="I378" s="1">
        <f t="shared" si="22"/>
        <v>4725470.7140788632</v>
      </c>
      <c r="J378" s="1">
        <f t="shared" si="23"/>
        <v>5088968.461315698</v>
      </c>
      <c r="K378" s="1">
        <f t="shared" si="23"/>
        <v>5452466.2085525338</v>
      </c>
    </row>
    <row r="379" spans="1:11" x14ac:dyDescent="0.25">
      <c r="A379" t="s">
        <v>387</v>
      </c>
      <c r="B379" t="s">
        <v>406</v>
      </c>
      <c r="C379" t="s">
        <v>412</v>
      </c>
      <c r="D379" s="1">
        <v>5045546</v>
      </c>
      <c r="E379" s="1">
        <f t="shared" si="21"/>
        <v>5507374.9464456588</v>
      </c>
      <c r="F379" s="1">
        <f t="shared" si="22"/>
        <v>6294142.7959378958</v>
      </c>
      <c r="G379" s="1">
        <f t="shared" si="22"/>
        <v>6923557.0755316848</v>
      </c>
      <c r="H379" s="1">
        <f t="shared" si="22"/>
        <v>7552971.3551254747</v>
      </c>
      <c r="I379" s="1">
        <f t="shared" si="22"/>
        <v>8182385.6347192647</v>
      </c>
      <c r="J379" s="1">
        <f t="shared" si="23"/>
        <v>8811799.9143130537</v>
      </c>
      <c r="K379" s="1">
        <f t="shared" si="23"/>
        <v>9441214.1939068437</v>
      </c>
    </row>
    <row r="380" spans="1:11" x14ac:dyDescent="0.25">
      <c r="A380" t="s">
        <v>387</v>
      </c>
      <c r="B380" t="s">
        <v>406</v>
      </c>
      <c r="C380" t="s">
        <v>413</v>
      </c>
      <c r="D380" s="1">
        <v>2358482</v>
      </c>
      <c r="E380" s="1">
        <f t="shared" si="21"/>
        <v>2574358.5884348396</v>
      </c>
      <c r="F380" s="1">
        <f t="shared" si="22"/>
        <v>2942124.1010683877</v>
      </c>
      <c r="G380" s="1">
        <f t="shared" si="22"/>
        <v>3236336.5111752264</v>
      </c>
      <c r="H380" s="1">
        <f t="shared" si="22"/>
        <v>3530548.9212820651</v>
      </c>
      <c r="I380" s="1">
        <f t="shared" si="22"/>
        <v>3824761.3313889042</v>
      </c>
      <c r="J380" s="1">
        <f t="shared" si="23"/>
        <v>4118973.7414957425</v>
      </c>
      <c r="K380" s="1">
        <f t="shared" si="23"/>
        <v>4413186.1516025811</v>
      </c>
    </row>
    <row r="381" spans="1:11" x14ac:dyDescent="0.25">
      <c r="A381" t="s">
        <v>387</v>
      </c>
      <c r="B381" t="s">
        <v>406</v>
      </c>
      <c r="C381" t="s">
        <v>414</v>
      </c>
      <c r="D381" s="1">
        <v>4203621</v>
      </c>
      <c r="E381" s="1">
        <f t="shared" si="21"/>
        <v>4588386.8623441048</v>
      </c>
      <c r="F381" s="1">
        <f t="shared" si="22"/>
        <v>5243870.6998218335</v>
      </c>
      <c r="G381" s="1">
        <f t="shared" si="22"/>
        <v>5768257.7698040167</v>
      </c>
      <c r="H381" s="1">
        <f t="shared" si="22"/>
        <v>6292644.8397861999</v>
      </c>
      <c r="I381" s="1">
        <f t="shared" si="22"/>
        <v>6817031.9097683839</v>
      </c>
      <c r="J381" s="1">
        <f t="shared" si="23"/>
        <v>7341418.9797505662</v>
      </c>
      <c r="K381" s="1">
        <f t="shared" si="23"/>
        <v>7865806.0497327503</v>
      </c>
    </row>
    <row r="382" spans="1:11" x14ac:dyDescent="0.25">
      <c r="A382" t="s">
        <v>387</v>
      </c>
      <c r="B382" t="s">
        <v>406</v>
      </c>
      <c r="C382" t="s">
        <v>415</v>
      </c>
      <c r="D382" s="1">
        <v>6237530</v>
      </c>
      <c r="E382" s="1">
        <f t="shared" si="21"/>
        <v>6808463.6330147795</v>
      </c>
      <c r="F382" s="1">
        <f t="shared" si="22"/>
        <v>7781101.2948740339</v>
      </c>
      <c r="G382" s="1">
        <f t="shared" si="22"/>
        <v>8559211.4243614357</v>
      </c>
      <c r="H382" s="1">
        <f t="shared" si="22"/>
        <v>9337321.5538488403</v>
      </c>
      <c r="I382" s="1">
        <f t="shared" si="22"/>
        <v>10115431.683336245</v>
      </c>
      <c r="J382" s="1">
        <f t="shared" si="23"/>
        <v>10893541.812823646</v>
      </c>
      <c r="K382" s="1">
        <f t="shared" si="23"/>
        <v>11671651.94231105</v>
      </c>
    </row>
    <row r="383" spans="1:11" x14ac:dyDescent="0.25">
      <c r="A383" t="s">
        <v>387</v>
      </c>
      <c r="B383" t="s">
        <v>406</v>
      </c>
      <c r="C383" t="s">
        <v>416</v>
      </c>
      <c r="D383" s="1">
        <v>2038994</v>
      </c>
      <c r="E383" s="1">
        <f t="shared" si="21"/>
        <v>2225627.2109208833</v>
      </c>
      <c r="F383" s="1">
        <f t="shared" si="22"/>
        <v>2543573.9553381526</v>
      </c>
      <c r="G383" s="1">
        <f t="shared" si="22"/>
        <v>2797931.3508719672</v>
      </c>
      <c r="H383" s="1">
        <f t="shared" si="22"/>
        <v>3052288.7464057826</v>
      </c>
      <c r="I383" s="1">
        <f t="shared" si="22"/>
        <v>3306646.1419395981</v>
      </c>
      <c r="J383" s="1">
        <f t="shared" si="23"/>
        <v>3561003.5374734132</v>
      </c>
      <c r="K383" s="1">
        <f t="shared" si="23"/>
        <v>3815360.9330072287</v>
      </c>
    </row>
    <row r="384" spans="1:11" x14ac:dyDescent="0.25">
      <c r="A384" t="s">
        <v>387</v>
      </c>
      <c r="B384" t="s">
        <v>421</v>
      </c>
      <c r="C384" t="s">
        <v>417</v>
      </c>
      <c r="D384" s="1">
        <v>5506451</v>
      </c>
      <c r="E384" s="1">
        <f t="shared" si="21"/>
        <v>6010467.5056437189</v>
      </c>
      <c r="F384" s="1">
        <f t="shared" si="22"/>
        <v>6869105.7207356784</v>
      </c>
      <c r="G384" s="1">
        <f t="shared" si="22"/>
        <v>7556016.2928092461</v>
      </c>
      <c r="H384" s="1">
        <f t="shared" si="22"/>
        <v>8242926.8648828138</v>
      </c>
      <c r="I384" s="1">
        <f t="shared" si="22"/>
        <v>8929837.4369563833</v>
      </c>
      <c r="J384" s="1">
        <f t="shared" si="23"/>
        <v>9616748.0090299491</v>
      </c>
      <c r="K384" s="1">
        <f t="shared" si="23"/>
        <v>10303658.581103519</v>
      </c>
    </row>
    <row r="385" spans="1:11" x14ac:dyDescent="0.25">
      <c r="A385" t="s">
        <v>387</v>
      </c>
      <c r="B385" t="s">
        <v>436</v>
      </c>
      <c r="C385" t="s">
        <v>418</v>
      </c>
      <c r="D385" s="1">
        <v>2948142</v>
      </c>
      <c r="E385" s="1">
        <f t="shared" si="21"/>
        <v>3217991.3510577842</v>
      </c>
      <c r="F385" s="1">
        <f t="shared" si="22"/>
        <v>3677704.4012088957</v>
      </c>
      <c r="G385" s="1">
        <f t="shared" si="22"/>
        <v>4045474.8413297851</v>
      </c>
      <c r="H385" s="1">
        <f t="shared" si="22"/>
        <v>4413245.2814506749</v>
      </c>
      <c r="I385" s="1">
        <f t="shared" si="22"/>
        <v>4781015.7215715647</v>
      </c>
      <c r="J385" s="1">
        <f t="shared" si="23"/>
        <v>5148786.1616924535</v>
      </c>
      <c r="K385" s="1">
        <f t="shared" si="23"/>
        <v>5516556.6018133434</v>
      </c>
    </row>
    <row r="386" spans="1:11" x14ac:dyDescent="0.25">
      <c r="A386" t="s">
        <v>387</v>
      </c>
      <c r="B386" t="s">
        <v>406</v>
      </c>
      <c r="C386" t="s">
        <v>419</v>
      </c>
      <c r="D386" s="1">
        <v>5998215</v>
      </c>
      <c r="E386" s="1">
        <f t="shared" si="21"/>
        <v>6547243.6510131015</v>
      </c>
      <c r="F386" s="1">
        <f t="shared" si="22"/>
        <v>7482564.172586401</v>
      </c>
      <c r="G386" s="1">
        <f t="shared" si="22"/>
        <v>8230820.5898450399</v>
      </c>
      <c r="H386" s="1">
        <f t="shared" si="22"/>
        <v>8979077.0071036797</v>
      </c>
      <c r="I386" s="1">
        <f t="shared" si="22"/>
        <v>9727333.4243623205</v>
      </c>
      <c r="J386" s="1">
        <f t="shared" si="23"/>
        <v>10475589.841620959</v>
      </c>
      <c r="K386" s="1">
        <f t="shared" si="23"/>
        <v>11223846.2588796</v>
      </c>
    </row>
    <row r="387" spans="1:11" x14ac:dyDescent="0.25">
      <c r="A387" t="s">
        <v>387</v>
      </c>
      <c r="B387" t="s">
        <v>406</v>
      </c>
      <c r="C387" t="s">
        <v>420</v>
      </c>
      <c r="D387" s="1">
        <v>4245152</v>
      </c>
      <c r="E387" s="1">
        <f t="shared" si="21"/>
        <v>4633719.2780828243</v>
      </c>
      <c r="F387" s="1">
        <f t="shared" si="22"/>
        <v>5295679.1749517992</v>
      </c>
      <c r="G387" s="1">
        <f t="shared" si="22"/>
        <v>5825247.0924469782</v>
      </c>
      <c r="H387" s="1">
        <f t="shared" si="22"/>
        <v>6354815.0099421581</v>
      </c>
      <c r="I387" s="1">
        <f t="shared" ref="I387" si="24">I$1/SUM($D$3:$D$696)*$D387</f>
        <v>6884382.927437339</v>
      </c>
      <c r="J387" s="1">
        <f t="shared" si="23"/>
        <v>7413950.844932518</v>
      </c>
      <c r="K387" s="1">
        <f t="shared" si="23"/>
        <v>7943518.7624276979</v>
      </c>
    </row>
    <row r="388" spans="1:11" x14ac:dyDescent="0.25">
      <c r="A388" t="s">
        <v>387</v>
      </c>
      <c r="B388" t="s">
        <v>421</v>
      </c>
      <c r="C388" t="s">
        <v>422</v>
      </c>
      <c r="D388" s="1">
        <v>3040273</v>
      </c>
      <c r="E388" s="1">
        <f t="shared" ref="E388:E451" si="25">$E$1/SUM($D$3:$D$696)*D388</f>
        <v>3318555.2862970992</v>
      </c>
      <c r="F388" s="1">
        <f t="shared" ref="F388:I451" si="26">F$1/SUM($D$3:$D$696)*$D388</f>
        <v>3792634.6129109701</v>
      </c>
      <c r="G388" s="1">
        <f t="shared" si="26"/>
        <v>4171898.0742020668</v>
      </c>
      <c r="H388" s="1">
        <f t="shared" si="26"/>
        <v>4551161.5354931643</v>
      </c>
      <c r="I388" s="1">
        <f t="shared" si="26"/>
        <v>4930424.9967842614</v>
      </c>
      <c r="J388" s="1">
        <f t="shared" ref="J388:K451" si="27">J$1/SUM($D$3:$D$696)*$D388</f>
        <v>5309688.4580753576</v>
      </c>
      <c r="K388" s="1">
        <f t="shared" si="27"/>
        <v>5688951.9193664547</v>
      </c>
    </row>
    <row r="389" spans="1:11" x14ac:dyDescent="0.25">
      <c r="A389" t="s">
        <v>387</v>
      </c>
      <c r="B389" t="s">
        <v>421</v>
      </c>
      <c r="C389" t="s">
        <v>423</v>
      </c>
      <c r="D389" s="1">
        <v>4392354</v>
      </c>
      <c r="E389" s="1">
        <f t="shared" si="25"/>
        <v>4794394.972421295</v>
      </c>
      <c r="F389" s="1">
        <f t="shared" si="26"/>
        <v>5479308.539910051</v>
      </c>
      <c r="G389" s="1">
        <f t="shared" si="26"/>
        <v>6027239.3939010557</v>
      </c>
      <c r="H389" s="1">
        <f t="shared" si="26"/>
        <v>6575170.2478920612</v>
      </c>
      <c r="I389" s="1">
        <f t="shared" si="26"/>
        <v>7123101.1018830668</v>
      </c>
      <c r="J389" s="1">
        <f t="shared" si="27"/>
        <v>7671031.9558740715</v>
      </c>
      <c r="K389" s="1">
        <f t="shared" si="27"/>
        <v>8218962.8098650761</v>
      </c>
    </row>
    <row r="390" spans="1:11" x14ac:dyDescent="0.25">
      <c r="A390" t="s">
        <v>387</v>
      </c>
      <c r="B390" t="s">
        <v>421</v>
      </c>
      <c r="C390" t="s">
        <v>424</v>
      </c>
      <c r="D390" s="1">
        <v>2868648</v>
      </c>
      <c r="E390" s="1">
        <f t="shared" si="25"/>
        <v>3131221.1057775407</v>
      </c>
      <c r="F390" s="1">
        <f t="shared" si="26"/>
        <v>3578538.4066029033</v>
      </c>
      <c r="G390" s="1">
        <f t="shared" si="26"/>
        <v>3936392.2472631931</v>
      </c>
      <c r="H390" s="1">
        <f t="shared" si="26"/>
        <v>4294246.0879234839</v>
      </c>
      <c r="I390" s="1">
        <f t="shared" si="26"/>
        <v>4652099.9285837747</v>
      </c>
      <c r="J390" s="1">
        <f t="shared" si="27"/>
        <v>5009953.7692440646</v>
      </c>
      <c r="K390" s="1">
        <f t="shared" si="27"/>
        <v>5367807.6099043544</v>
      </c>
    </row>
    <row r="391" spans="1:11" x14ac:dyDescent="0.25">
      <c r="A391" t="s">
        <v>387</v>
      </c>
      <c r="B391" t="s">
        <v>421</v>
      </c>
      <c r="C391" t="s">
        <v>425</v>
      </c>
      <c r="D391" s="1">
        <v>2267025</v>
      </c>
      <c r="E391" s="1">
        <f t="shared" si="25"/>
        <v>2474530.3457675283</v>
      </c>
      <c r="F391" s="1">
        <f t="shared" si="26"/>
        <v>2828034.6808771752</v>
      </c>
      <c r="G391" s="1">
        <f t="shared" si="26"/>
        <v>3110838.1489648926</v>
      </c>
      <c r="H391" s="1">
        <f t="shared" si="26"/>
        <v>3393641.61705261</v>
      </c>
      <c r="I391" s="1">
        <f t="shared" si="26"/>
        <v>3676445.0851403279</v>
      </c>
      <c r="J391" s="1">
        <f t="shared" si="27"/>
        <v>3959248.5532280449</v>
      </c>
      <c r="K391" s="1">
        <f t="shared" si="27"/>
        <v>4242052.0213157628</v>
      </c>
    </row>
    <row r="392" spans="1:11" x14ac:dyDescent="0.25">
      <c r="A392" t="s">
        <v>387</v>
      </c>
      <c r="B392" t="s">
        <v>421</v>
      </c>
      <c r="C392" t="s">
        <v>426</v>
      </c>
      <c r="D392" s="1">
        <v>2250302</v>
      </c>
      <c r="E392" s="1">
        <f t="shared" si="25"/>
        <v>2456276.6560321837</v>
      </c>
      <c r="F392" s="1">
        <f t="shared" si="26"/>
        <v>2807173.3211796382</v>
      </c>
      <c r="G392" s="1">
        <f t="shared" si="26"/>
        <v>3087890.6532976017</v>
      </c>
      <c r="H392" s="1">
        <f t="shared" si="26"/>
        <v>3368607.9854155658</v>
      </c>
      <c r="I392" s="1">
        <f t="shared" si="26"/>
        <v>3649325.3175335294</v>
      </c>
      <c r="J392" s="1">
        <f t="shared" si="27"/>
        <v>3930042.6496514929</v>
      </c>
      <c r="K392" s="1">
        <f t="shared" si="27"/>
        <v>4210759.9817694565</v>
      </c>
    </row>
    <row r="393" spans="1:11" x14ac:dyDescent="0.25">
      <c r="A393" t="s">
        <v>387</v>
      </c>
      <c r="B393" t="s">
        <v>421</v>
      </c>
      <c r="C393" t="s">
        <v>427</v>
      </c>
      <c r="D393" s="1">
        <v>5453715</v>
      </c>
      <c r="E393" s="1">
        <f t="shared" si="25"/>
        <v>5952904.473778435</v>
      </c>
      <c r="F393" s="1">
        <f t="shared" si="26"/>
        <v>6803319.3986039255</v>
      </c>
      <c r="G393" s="1">
        <f t="shared" si="26"/>
        <v>7483651.3384643169</v>
      </c>
      <c r="H393" s="1">
        <f t="shared" si="26"/>
        <v>8163983.2783247102</v>
      </c>
      <c r="I393" s="1">
        <f t="shared" si="26"/>
        <v>8844315.2181851026</v>
      </c>
      <c r="J393" s="1">
        <f t="shared" si="27"/>
        <v>9524647.1580454949</v>
      </c>
      <c r="K393" s="1">
        <f t="shared" si="27"/>
        <v>10204979.097905887</v>
      </c>
    </row>
    <row r="394" spans="1:11" x14ac:dyDescent="0.25">
      <c r="A394" t="s">
        <v>387</v>
      </c>
      <c r="B394" t="s">
        <v>421</v>
      </c>
      <c r="C394" t="s">
        <v>428</v>
      </c>
      <c r="D394" s="1">
        <v>2789468</v>
      </c>
      <c r="E394" s="1">
        <f t="shared" si="25"/>
        <v>3044793.6015471625</v>
      </c>
      <c r="F394" s="1">
        <f t="shared" si="26"/>
        <v>3479764.1160538998</v>
      </c>
      <c r="G394" s="1">
        <f t="shared" si="26"/>
        <v>3827740.5276592895</v>
      </c>
      <c r="H394" s="1">
        <f t="shared" si="26"/>
        <v>4175716.9392646793</v>
      </c>
      <c r="I394" s="1">
        <f t="shared" si="26"/>
        <v>4523693.35087007</v>
      </c>
      <c r="J394" s="1">
        <f t="shared" si="27"/>
        <v>4871669.7624754589</v>
      </c>
      <c r="K394" s="1">
        <f t="shared" si="27"/>
        <v>5219646.1740808496</v>
      </c>
    </row>
    <row r="395" spans="1:11" x14ac:dyDescent="0.25">
      <c r="A395" t="s">
        <v>387</v>
      </c>
      <c r="B395" t="s">
        <v>421</v>
      </c>
      <c r="C395" t="s">
        <v>429</v>
      </c>
      <c r="D395" s="1">
        <v>3225691</v>
      </c>
      <c r="E395" s="1">
        <f t="shared" si="25"/>
        <v>3520944.9677745965</v>
      </c>
      <c r="F395" s="1">
        <f t="shared" si="26"/>
        <v>4023937.1060281103</v>
      </c>
      <c r="G395" s="1">
        <f t="shared" si="26"/>
        <v>4426330.8166309204</v>
      </c>
      <c r="H395" s="1">
        <f t="shared" si="26"/>
        <v>4828724.5272337319</v>
      </c>
      <c r="I395" s="1">
        <f t="shared" si="26"/>
        <v>5231118.2378365435</v>
      </c>
      <c r="J395" s="1">
        <f t="shared" si="27"/>
        <v>5633511.9484393531</v>
      </c>
      <c r="K395" s="1">
        <f t="shared" si="27"/>
        <v>6035905.6590421647</v>
      </c>
    </row>
    <row r="396" spans="1:11" x14ac:dyDescent="0.25">
      <c r="A396" t="s">
        <v>387</v>
      </c>
      <c r="B396" t="s">
        <v>421</v>
      </c>
      <c r="C396" t="s">
        <v>430</v>
      </c>
      <c r="D396" s="1">
        <v>3575602</v>
      </c>
      <c r="E396" s="1">
        <f t="shared" si="25"/>
        <v>3902884.023505284</v>
      </c>
      <c r="F396" s="1">
        <f t="shared" si="26"/>
        <v>4460438.8840060383</v>
      </c>
      <c r="G396" s="1">
        <f t="shared" si="26"/>
        <v>4906482.7724066414</v>
      </c>
      <c r="H396" s="1">
        <f t="shared" si="26"/>
        <v>5352526.6608072463</v>
      </c>
      <c r="I396" s="1">
        <f t="shared" si="26"/>
        <v>5798570.5492078504</v>
      </c>
      <c r="J396" s="1">
        <f t="shared" si="27"/>
        <v>6244614.4376084534</v>
      </c>
      <c r="K396" s="1">
        <f t="shared" si="27"/>
        <v>6690658.3260090575</v>
      </c>
    </row>
    <row r="397" spans="1:11" x14ac:dyDescent="0.25">
      <c r="A397" t="s">
        <v>387</v>
      </c>
      <c r="B397" t="s">
        <v>421</v>
      </c>
      <c r="C397" t="s">
        <v>431</v>
      </c>
      <c r="D397" s="1">
        <v>4601590</v>
      </c>
      <c r="E397" s="1">
        <f t="shared" si="25"/>
        <v>5022782.763216286</v>
      </c>
      <c r="F397" s="1">
        <f t="shared" si="26"/>
        <v>5740323.1579614701</v>
      </c>
      <c r="G397" s="1">
        <f t="shared" si="26"/>
        <v>6314355.4737576162</v>
      </c>
      <c r="H397" s="1">
        <f t="shared" si="26"/>
        <v>6888387.7895537633</v>
      </c>
      <c r="I397" s="1">
        <f t="shared" si="26"/>
        <v>7462420.1053499104</v>
      </c>
      <c r="J397" s="1">
        <f t="shared" si="27"/>
        <v>8036452.4211460566</v>
      </c>
      <c r="K397" s="1">
        <f t="shared" si="27"/>
        <v>8610484.7369422037</v>
      </c>
    </row>
    <row r="398" spans="1:11" x14ac:dyDescent="0.25">
      <c r="A398" t="s">
        <v>387</v>
      </c>
      <c r="B398" t="s">
        <v>421</v>
      </c>
      <c r="C398" t="s">
        <v>432</v>
      </c>
      <c r="D398" s="1">
        <v>3471191</v>
      </c>
      <c r="E398" s="1">
        <f t="shared" si="25"/>
        <v>3788916.075233018</v>
      </c>
      <c r="F398" s="1">
        <f t="shared" si="26"/>
        <v>4330189.8002663059</v>
      </c>
      <c r="G398" s="1">
        <f t="shared" si="26"/>
        <v>4763208.7802929366</v>
      </c>
      <c r="H398" s="1">
        <f t="shared" si="26"/>
        <v>5196227.7603195673</v>
      </c>
      <c r="I398" s="1">
        <f t="shared" si="26"/>
        <v>5629246.740346198</v>
      </c>
      <c r="J398" s="1">
        <f t="shared" si="27"/>
        <v>6062265.7203728277</v>
      </c>
      <c r="K398" s="1">
        <f t="shared" si="27"/>
        <v>6495284.7003994593</v>
      </c>
    </row>
    <row r="399" spans="1:11" x14ac:dyDescent="0.25">
      <c r="A399" t="s">
        <v>387</v>
      </c>
      <c r="B399" t="s">
        <v>421</v>
      </c>
      <c r="C399" t="s">
        <v>433</v>
      </c>
      <c r="D399" s="1">
        <v>4323386</v>
      </c>
      <c r="E399" s="1">
        <f t="shared" si="25"/>
        <v>4719114.1930355821</v>
      </c>
      <c r="F399" s="1">
        <f t="shared" si="26"/>
        <v>5393273.3634692375</v>
      </c>
      <c r="G399" s="1">
        <f t="shared" si="26"/>
        <v>5932600.6998161599</v>
      </c>
      <c r="H399" s="1">
        <f t="shared" si="26"/>
        <v>6471928.0361630842</v>
      </c>
      <c r="I399" s="1">
        <f t="shared" si="26"/>
        <v>7011255.3725100085</v>
      </c>
      <c r="J399" s="1">
        <f t="shared" si="27"/>
        <v>7550582.708856931</v>
      </c>
      <c r="K399" s="1">
        <f t="shared" si="27"/>
        <v>8089910.0452038553</v>
      </c>
    </row>
    <row r="400" spans="1:11" x14ac:dyDescent="0.25">
      <c r="A400" t="s">
        <v>387</v>
      </c>
      <c r="B400" t="s">
        <v>421</v>
      </c>
      <c r="C400" t="s">
        <v>434</v>
      </c>
      <c r="D400" s="1">
        <v>4395586</v>
      </c>
      <c r="E400" s="1">
        <f t="shared" si="25"/>
        <v>4797922.8038644949</v>
      </c>
      <c r="F400" s="1">
        <f t="shared" si="26"/>
        <v>5483340.3472737083</v>
      </c>
      <c r="G400" s="1">
        <f t="shared" si="26"/>
        <v>6031674.3820010787</v>
      </c>
      <c r="H400" s="1">
        <f t="shared" si="26"/>
        <v>6580008.41672845</v>
      </c>
      <c r="I400" s="1">
        <f t="shared" si="26"/>
        <v>7128342.4514558213</v>
      </c>
      <c r="J400" s="1">
        <f t="shared" si="27"/>
        <v>7676676.4861831916</v>
      </c>
      <c r="K400" s="1">
        <f t="shared" si="27"/>
        <v>8225010.520910562</v>
      </c>
    </row>
    <row r="401" spans="1:11" x14ac:dyDescent="0.25">
      <c r="A401" t="s">
        <v>387</v>
      </c>
      <c r="B401" t="s">
        <v>421</v>
      </c>
      <c r="C401" t="s">
        <v>435</v>
      </c>
      <c r="D401" s="1">
        <v>5795076</v>
      </c>
      <c r="E401" s="1">
        <f t="shared" si="25"/>
        <v>6325510.9308583299</v>
      </c>
      <c r="F401" s="1">
        <f t="shared" si="26"/>
        <v>7229155.3495523771</v>
      </c>
      <c r="G401" s="1">
        <f t="shared" si="26"/>
        <v>7952070.8845076133</v>
      </c>
      <c r="H401" s="1">
        <f t="shared" si="26"/>
        <v>8674986.4194628522</v>
      </c>
      <c r="I401" s="1">
        <f t="shared" si="26"/>
        <v>9397901.9544180892</v>
      </c>
      <c r="J401" s="1">
        <f t="shared" si="27"/>
        <v>10120817.489373326</v>
      </c>
      <c r="K401" s="1">
        <f t="shared" si="27"/>
        <v>10843733.024328565</v>
      </c>
    </row>
    <row r="402" spans="1:11" x14ac:dyDescent="0.25">
      <c r="A402" t="s">
        <v>387</v>
      </c>
      <c r="B402" t="s">
        <v>436</v>
      </c>
      <c r="C402" t="s">
        <v>437</v>
      </c>
      <c r="D402" s="1">
        <v>7669372</v>
      </c>
      <c r="E402" s="1">
        <f t="shared" si="25"/>
        <v>8371365.0034648059</v>
      </c>
      <c r="F402" s="1">
        <f t="shared" si="26"/>
        <v>9567274.2896740623</v>
      </c>
      <c r="G402" s="1">
        <f t="shared" si="26"/>
        <v>10524001.718641469</v>
      </c>
      <c r="H402" s="1">
        <f t="shared" si="26"/>
        <v>11480729.147608874</v>
      </c>
      <c r="I402" s="1">
        <f t="shared" si="26"/>
        <v>12437456.576576281</v>
      </c>
      <c r="J402" s="1">
        <f t="shared" si="27"/>
        <v>13394184.005543686</v>
      </c>
      <c r="K402" s="1">
        <f t="shared" si="27"/>
        <v>14350911.434511093</v>
      </c>
    </row>
    <row r="403" spans="1:11" x14ac:dyDescent="0.25">
      <c r="A403" t="s">
        <v>387</v>
      </c>
      <c r="B403" t="s">
        <v>436</v>
      </c>
      <c r="C403" t="s">
        <v>438</v>
      </c>
      <c r="D403" s="1">
        <v>4342236</v>
      </c>
      <c r="E403" s="1">
        <f t="shared" si="25"/>
        <v>4739689.5713475635</v>
      </c>
      <c r="F403" s="1">
        <f t="shared" si="26"/>
        <v>5416788.0815400723</v>
      </c>
      <c r="G403" s="1">
        <f t="shared" si="26"/>
        <v>5958466.8896940788</v>
      </c>
      <c r="H403" s="1">
        <f t="shared" si="26"/>
        <v>6500145.6978480862</v>
      </c>
      <c r="I403" s="1">
        <f t="shared" si="26"/>
        <v>7041824.5060020937</v>
      </c>
      <c r="J403" s="1">
        <f t="shared" si="27"/>
        <v>7583503.3141561002</v>
      </c>
      <c r="K403" s="1">
        <f t="shared" si="27"/>
        <v>8125182.1223101076</v>
      </c>
    </row>
    <row r="404" spans="1:11" x14ac:dyDescent="0.25">
      <c r="A404" t="s">
        <v>387</v>
      </c>
      <c r="B404" t="s">
        <v>436</v>
      </c>
      <c r="C404" t="s">
        <v>439</v>
      </c>
      <c r="D404" s="1">
        <v>2037203</v>
      </c>
      <c r="E404" s="1">
        <f t="shared" si="25"/>
        <v>2223672.2770982436</v>
      </c>
      <c r="F404" s="1">
        <f t="shared" si="26"/>
        <v>2541339.7452551359</v>
      </c>
      <c r="G404" s="1">
        <f t="shared" si="26"/>
        <v>2795473.7197806491</v>
      </c>
      <c r="H404" s="1">
        <f t="shared" si="26"/>
        <v>3049607.6943061627</v>
      </c>
      <c r="I404" s="1">
        <f t="shared" si="26"/>
        <v>3303741.6688316762</v>
      </c>
      <c r="J404" s="1">
        <f t="shared" si="27"/>
        <v>3557875.6433571898</v>
      </c>
      <c r="K404" s="1">
        <f t="shared" si="27"/>
        <v>3812009.6178827034</v>
      </c>
    </row>
    <row r="405" spans="1:11" x14ac:dyDescent="0.25">
      <c r="A405" t="s">
        <v>387</v>
      </c>
      <c r="B405" t="s">
        <v>436</v>
      </c>
      <c r="C405" t="s">
        <v>440</v>
      </c>
      <c r="D405" s="1">
        <v>5516791</v>
      </c>
      <c r="E405" s="1">
        <f t="shared" si="25"/>
        <v>6021753.9465851448</v>
      </c>
      <c r="F405" s="1">
        <f t="shared" si="26"/>
        <v>6882004.5103830229</v>
      </c>
      <c r="G405" s="1">
        <f t="shared" si="26"/>
        <v>7570204.9614213239</v>
      </c>
      <c r="H405" s="1">
        <f t="shared" si="26"/>
        <v>8258405.4124596268</v>
      </c>
      <c r="I405" s="1">
        <f t="shared" si="26"/>
        <v>8946605.8634979296</v>
      </c>
      <c r="J405" s="1">
        <f t="shared" si="27"/>
        <v>9634806.3145362306</v>
      </c>
      <c r="K405" s="1">
        <f t="shared" si="27"/>
        <v>10323006.765574533</v>
      </c>
    </row>
    <row r="406" spans="1:11" x14ac:dyDescent="0.25">
      <c r="A406" t="s">
        <v>387</v>
      </c>
      <c r="B406" t="s">
        <v>436</v>
      </c>
      <c r="C406" t="s">
        <v>441</v>
      </c>
      <c r="D406" s="1">
        <v>2898095</v>
      </c>
      <c r="E406" s="1">
        <f t="shared" si="25"/>
        <v>3163363.4487564741</v>
      </c>
      <c r="F406" s="1">
        <f t="shared" si="26"/>
        <v>3615272.5128645413</v>
      </c>
      <c r="G406" s="1">
        <f t="shared" si="26"/>
        <v>3976799.7641509953</v>
      </c>
      <c r="H406" s="1">
        <f t="shared" si="26"/>
        <v>4338327.0154374493</v>
      </c>
      <c r="I406" s="1">
        <f t="shared" si="26"/>
        <v>4699854.2667239038</v>
      </c>
      <c r="J406" s="1">
        <f t="shared" si="27"/>
        <v>5061381.5180103574</v>
      </c>
      <c r="K406" s="1">
        <f t="shared" si="27"/>
        <v>5422908.7692968119</v>
      </c>
    </row>
    <row r="407" spans="1:11" x14ac:dyDescent="0.25">
      <c r="A407" t="s">
        <v>387</v>
      </c>
      <c r="B407" t="s">
        <v>436</v>
      </c>
      <c r="C407" t="s">
        <v>442</v>
      </c>
      <c r="D407" s="1">
        <v>8884387</v>
      </c>
      <c r="E407" s="1">
        <f t="shared" si="25"/>
        <v>9697592.7636627443</v>
      </c>
      <c r="F407" s="1">
        <f t="shared" si="26"/>
        <v>11082963.158471707</v>
      </c>
      <c r="G407" s="1">
        <f t="shared" si="26"/>
        <v>12191259.474318877</v>
      </c>
      <c r="H407" s="1">
        <f t="shared" si="26"/>
        <v>13299555.790166048</v>
      </c>
      <c r="I407" s="1">
        <f t="shared" si="26"/>
        <v>14407852.10601322</v>
      </c>
      <c r="J407" s="1">
        <f t="shared" si="27"/>
        <v>15516148.421860389</v>
      </c>
      <c r="K407" s="1">
        <f t="shared" si="27"/>
        <v>16624444.737707561</v>
      </c>
    </row>
    <row r="408" spans="1:11" x14ac:dyDescent="0.25">
      <c r="A408" t="s">
        <v>387</v>
      </c>
      <c r="B408" t="s">
        <v>436</v>
      </c>
      <c r="C408" t="s">
        <v>443</v>
      </c>
      <c r="D408" s="1">
        <v>4084537</v>
      </c>
      <c r="E408" s="1">
        <f t="shared" si="25"/>
        <v>4458402.8649486722</v>
      </c>
      <c r="F408" s="1">
        <f t="shared" si="26"/>
        <v>5095317.5599413393</v>
      </c>
      <c r="G408" s="1">
        <f t="shared" si="26"/>
        <v>5604849.315935473</v>
      </c>
      <c r="H408" s="1">
        <f t="shared" si="26"/>
        <v>6114381.0719296066</v>
      </c>
      <c r="I408" s="1">
        <f t="shared" si="26"/>
        <v>6623912.8279237412</v>
      </c>
      <c r="J408" s="1">
        <f t="shared" si="27"/>
        <v>7133444.5839178739</v>
      </c>
      <c r="K408" s="1">
        <f t="shared" si="27"/>
        <v>7642976.3399120085</v>
      </c>
    </row>
    <row r="409" spans="1:11" x14ac:dyDescent="0.25">
      <c r="A409" t="s">
        <v>387</v>
      </c>
      <c r="B409" t="s">
        <v>406</v>
      </c>
      <c r="C409" t="s">
        <v>444</v>
      </c>
      <c r="D409" s="1">
        <v>5493576</v>
      </c>
      <c r="E409" s="1">
        <f t="shared" si="25"/>
        <v>5996414.0310672335</v>
      </c>
      <c r="F409" s="1">
        <f t="shared" si="26"/>
        <v>6853044.6069339812</v>
      </c>
      <c r="G409" s="1">
        <f t="shared" si="26"/>
        <v>7538349.0676273787</v>
      </c>
      <c r="H409" s="1">
        <f t="shared" si="26"/>
        <v>8223653.5283207772</v>
      </c>
      <c r="I409" s="1">
        <f t="shared" si="26"/>
        <v>8908957.9890141748</v>
      </c>
      <c r="J409" s="1">
        <f t="shared" si="27"/>
        <v>9594262.4497075733</v>
      </c>
      <c r="K409" s="1">
        <f t="shared" si="27"/>
        <v>10279566.910400972</v>
      </c>
    </row>
    <row r="410" spans="1:11" x14ac:dyDescent="0.25">
      <c r="A410" t="s">
        <v>387</v>
      </c>
      <c r="B410" t="s">
        <v>436</v>
      </c>
      <c r="C410" t="s">
        <v>445</v>
      </c>
      <c r="D410" s="1">
        <v>2453670</v>
      </c>
      <c r="E410" s="1">
        <f t="shared" si="25"/>
        <v>2678259.3370163147</v>
      </c>
      <c r="F410" s="1">
        <f t="shared" si="26"/>
        <v>3060867.8137329314</v>
      </c>
      <c r="G410" s="1">
        <f t="shared" si="26"/>
        <v>3366954.5951062241</v>
      </c>
      <c r="H410" s="1">
        <f t="shared" si="26"/>
        <v>3673041.3764795172</v>
      </c>
      <c r="I410" s="1">
        <f t="shared" si="26"/>
        <v>3979128.1578528108</v>
      </c>
      <c r="J410" s="1">
        <f t="shared" si="27"/>
        <v>4285214.939226103</v>
      </c>
      <c r="K410" s="1">
        <f t="shared" si="27"/>
        <v>4591301.7205993971</v>
      </c>
    </row>
    <row r="411" spans="1:11" x14ac:dyDescent="0.25">
      <c r="A411" t="s">
        <v>387</v>
      </c>
      <c r="B411" t="s">
        <v>436</v>
      </c>
      <c r="C411" t="s">
        <v>446</v>
      </c>
      <c r="D411" s="1">
        <v>4795522</v>
      </c>
      <c r="E411" s="1">
        <f t="shared" si="25"/>
        <v>5234465.7481923616</v>
      </c>
      <c r="F411" s="1">
        <f t="shared" si="26"/>
        <v>5982246.5693626991</v>
      </c>
      <c r="G411" s="1">
        <f t="shared" si="26"/>
        <v>6580471.2262989683</v>
      </c>
      <c r="H411" s="1">
        <f t="shared" si="26"/>
        <v>7178695.8832352385</v>
      </c>
      <c r="I411" s="1">
        <f t="shared" si="26"/>
        <v>7776920.5401715087</v>
      </c>
      <c r="J411" s="1">
        <f t="shared" si="27"/>
        <v>8375145.1971077779</v>
      </c>
      <c r="K411" s="1">
        <f t="shared" si="27"/>
        <v>8973369.8540440481</v>
      </c>
    </row>
    <row r="412" spans="1:11" x14ac:dyDescent="0.25">
      <c r="A412" t="s">
        <v>387</v>
      </c>
      <c r="B412" t="s">
        <v>406</v>
      </c>
      <c r="C412" t="s">
        <v>447</v>
      </c>
      <c r="D412" s="1">
        <v>3196074</v>
      </c>
      <c r="E412" s="1">
        <f t="shared" si="25"/>
        <v>3488617.064354653</v>
      </c>
      <c r="F412" s="1">
        <f t="shared" si="26"/>
        <v>3986990.9306910322</v>
      </c>
      <c r="G412" s="1">
        <f t="shared" si="26"/>
        <v>4385690.0237601344</v>
      </c>
      <c r="H412" s="1">
        <f t="shared" si="26"/>
        <v>4784389.1168292379</v>
      </c>
      <c r="I412" s="1">
        <f t="shared" si="26"/>
        <v>5183088.2098983414</v>
      </c>
      <c r="J412" s="1">
        <f t="shared" si="27"/>
        <v>5581787.3029674441</v>
      </c>
      <c r="K412" s="1">
        <f t="shared" si="27"/>
        <v>5980486.3960365476</v>
      </c>
    </row>
    <row r="413" spans="1:11" x14ac:dyDescent="0.25">
      <c r="A413" t="s">
        <v>387</v>
      </c>
      <c r="B413" t="s">
        <v>436</v>
      </c>
      <c r="C413" t="s">
        <v>448</v>
      </c>
      <c r="D413" s="1">
        <v>5335334</v>
      </c>
      <c r="E413" s="1">
        <f t="shared" si="25"/>
        <v>5823687.8233831786</v>
      </c>
      <c r="F413" s="1">
        <f t="shared" si="26"/>
        <v>6655643.2267236328</v>
      </c>
      <c r="G413" s="1">
        <f t="shared" si="26"/>
        <v>7321207.5493959952</v>
      </c>
      <c r="H413" s="1">
        <f t="shared" si="26"/>
        <v>7986771.8720683586</v>
      </c>
      <c r="I413" s="1">
        <f t="shared" si="26"/>
        <v>8652336.194740722</v>
      </c>
      <c r="J413" s="1">
        <f t="shared" si="27"/>
        <v>9317900.5174130853</v>
      </c>
      <c r="K413" s="1">
        <f t="shared" si="27"/>
        <v>9983464.8400854487</v>
      </c>
    </row>
    <row r="414" spans="1:11" x14ac:dyDescent="0.25">
      <c r="A414" t="s">
        <v>387</v>
      </c>
      <c r="B414" t="s">
        <v>406</v>
      </c>
      <c r="C414" t="s">
        <v>449</v>
      </c>
      <c r="D414" s="1">
        <v>5876252</v>
      </c>
      <c r="E414" s="1">
        <f t="shared" si="25"/>
        <v>6414117.1329725655</v>
      </c>
      <c r="F414" s="1">
        <f t="shared" si="26"/>
        <v>7330419.580540075</v>
      </c>
      <c r="G414" s="1">
        <f t="shared" si="26"/>
        <v>8063461.5385940811</v>
      </c>
      <c r="H414" s="1">
        <f t="shared" si="26"/>
        <v>8796503.49664809</v>
      </c>
      <c r="I414" s="1">
        <f t="shared" si="26"/>
        <v>9529545.4547020961</v>
      </c>
      <c r="J414" s="1">
        <f t="shared" si="27"/>
        <v>10262587.412756104</v>
      </c>
      <c r="K414" s="1">
        <f t="shared" si="27"/>
        <v>10995629.370810112</v>
      </c>
    </row>
    <row r="415" spans="1:11" x14ac:dyDescent="0.25">
      <c r="A415" t="s">
        <v>387</v>
      </c>
      <c r="B415" t="s">
        <v>436</v>
      </c>
      <c r="C415" t="s">
        <v>450</v>
      </c>
      <c r="D415" s="1">
        <v>4229581</v>
      </c>
      <c r="E415" s="1">
        <f t="shared" si="25"/>
        <v>4616723.0332183233</v>
      </c>
      <c r="F415" s="1">
        <f t="shared" si="26"/>
        <v>5276254.8951066546</v>
      </c>
      <c r="G415" s="1">
        <f t="shared" si="26"/>
        <v>5803880.3846173193</v>
      </c>
      <c r="H415" s="1">
        <f t="shared" si="26"/>
        <v>6331505.874127985</v>
      </c>
      <c r="I415" s="1">
        <f t="shared" si="26"/>
        <v>6859131.3636386506</v>
      </c>
      <c r="J415" s="1">
        <f t="shared" si="27"/>
        <v>7386756.8531493153</v>
      </c>
      <c r="K415" s="1">
        <f t="shared" si="27"/>
        <v>7914382.3426599819</v>
      </c>
    </row>
    <row r="416" spans="1:11" x14ac:dyDescent="0.25">
      <c r="A416" t="s">
        <v>451</v>
      </c>
      <c r="B416" t="s">
        <v>452</v>
      </c>
      <c r="C416" t="s">
        <v>453</v>
      </c>
      <c r="D416" s="1">
        <v>2445668</v>
      </c>
      <c r="E416" s="1">
        <f t="shared" si="25"/>
        <v>2669524.8979047779</v>
      </c>
      <c r="F416" s="1">
        <f t="shared" si="26"/>
        <v>3050885.5976054608</v>
      </c>
      <c r="G416" s="1">
        <f t="shared" si="26"/>
        <v>3355974.1573660062</v>
      </c>
      <c r="H416" s="1">
        <f t="shared" si="26"/>
        <v>3661062.7171265525</v>
      </c>
      <c r="I416" s="1">
        <f t="shared" si="26"/>
        <v>3966151.2768870988</v>
      </c>
      <c r="J416" s="1">
        <f t="shared" si="27"/>
        <v>4271239.8366476446</v>
      </c>
      <c r="K416" s="1">
        <f t="shared" si="27"/>
        <v>4576328.396408191</v>
      </c>
    </row>
    <row r="417" spans="1:11" x14ac:dyDescent="0.25">
      <c r="A417" t="s">
        <v>451</v>
      </c>
      <c r="B417" t="s">
        <v>452</v>
      </c>
      <c r="C417" t="s">
        <v>454</v>
      </c>
      <c r="D417" s="1">
        <v>3229427</v>
      </c>
      <c r="E417" s="1">
        <f t="shared" si="25"/>
        <v>3525022.9313487904</v>
      </c>
      <c r="F417" s="1">
        <f t="shared" si="26"/>
        <v>4028597.6358271893</v>
      </c>
      <c r="G417" s="1">
        <f t="shared" si="26"/>
        <v>4431457.3994099079</v>
      </c>
      <c r="H417" s="1">
        <f t="shared" si="26"/>
        <v>4834317.1629926264</v>
      </c>
      <c r="I417" s="1">
        <f t="shared" si="26"/>
        <v>5237176.9265753459</v>
      </c>
      <c r="J417" s="1">
        <f t="shared" si="27"/>
        <v>5640036.6901580645</v>
      </c>
      <c r="K417" s="1">
        <f t="shared" si="27"/>
        <v>6042896.453740783</v>
      </c>
    </row>
    <row r="418" spans="1:11" x14ac:dyDescent="0.25">
      <c r="A418" t="s">
        <v>451</v>
      </c>
      <c r="B418" t="s">
        <v>452</v>
      </c>
      <c r="C418" t="s">
        <v>455</v>
      </c>
      <c r="D418" s="1">
        <v>3684074</v>
      </c>
      <c r="E418" s="1">
        <f t="shared" si="25"/>
        <v>4021284.6832536743</v>
      </c>
      <c r="F418" s="1">
        <f t="shared" si="26"/>
        <v>4595753.923718485</v>
      </c>
      <c r="G418" s="1">
        <f t="shared" si="26"/>
        <v>5055329.3160903333</v>
      </c>
      <c r="H418" s="1">
        <f t="shared" si="26"/>
        <v>5514904.7084621815</v>
      </c>
      <c r="I418" s="1">
        <f t="shared" si="26"/>
        <v>5974480.1008340307</v>
      </c>
      <c r="J418" s="1">
        <f t="shared" si="27"/>
        <v>6434055.493205878</v>
      </c>
      <c r="K418" s="1">
        <f t="shared" si="27"/>
        <v>6893630.8855777271</v>
      </c>
    </row>
    <row r="419" spans="1:11" x14ac:dyDescent="0.25">
      <c r="A419" t="s">
        <v>451</v>
      </c>
      <c r="B419" t="s">
        <v>452</v>
      </c>
      <c r="C419" t="s">
        <v>456</v>
      </c>
      <c r="D419" s="1">
        <v>6087940</v>
      </c>
      <c r="E419" s="1">
        <f t="shared" si="25"/>
        <v>6645181.3602461228</v>
      </c>
      <c r="F419" s="1">
        <f t="shared" si="26"/>
        <v>7594492.9831384262</v>
      </c>
      <c r="G419" s="1">
        <f t="shared" si="26"/>
        <v>8353942.2814522674</v>
      </c>
      <c r="H419" s="1">
        <f t="shared" si="26"/>
        <v>9113391.5797661114</v>
      </c>
      <c r="I419" s="1">
        <f t="shared" si="26"/>
        <v>9872840.8780799545</v>
      </c>
      <c r="J419" s="1">
        <f t="shared" si="27"/>
        <v>10632290.176393796</v>
      </c>
      <c r="K419" s="1">
        <f t="shared" si="27"/>
        <v>11391739.474707639</v>
      </c>
    </row>
    <row r="420" spans="1:11" x14ac:dyDescent="0.25">
      <c r="A420" t="s">
        <v>451</v>
      </c>
      <c r="B420" t="s">
        <v>452</v>
      </c>
      <c r="C420" t="s">
        <v>457</v>
      </c>
      <c r="D420" s="1">
        <v>5636053</v>
      </c>
      <c r="E420" s="1">
        <f t="shared" si="25"/>
        <v>6151932.2366776355</v>
      </c>
      <c r="F420" s="1">
        <f t="shared" si="26"/>
        <v>7030779.6990601541</v>
      </c>
      <c r="G420" s="1">
        <f t="shared" si="26"/>
        <v>7733857.6689661685</v>
      </c>
      <c r="H420" s="1">
        <f t="shared" si="26"/>
        <v>8436935.6388721839</v>
      </c>
      <c r="I420" s="1">
        <f t="shared" si="26"/>
        <v>9140013.608778201</v>
      </c>
      <c r="J420" s="1">
        <f t="shared" si="27"/>
        <v>9843091.5786842145</v>
      </c>
      <c r="K420" s="1">
        <f t="shared" si="27"/>
        <v>10546169.54859023</v>
      </c>
    </row>
    <row r="421" spans="1:11" x14ac:dyDescent="0.25">
      <c r="A421" t="s">
        <v>451</v>
      </c>
      <c r="B421" t="s">
        <v>452</v>
      </c>
      <c r="C421" t="s">
        <v>458</v>
      </c>
      <c r="D421" s="1">
        <v>5469470</v>
      </c>
      <c r="E421" s="1">
        <f t="shared" si="25"/>
        <v>5970101.5605320288</v>
      </c>
      <c r="F421" s="1">
        <f t="shared" si="26"/>
        <v>6822973.212036605</v>
      </c>
      <c r="G421" s="1">
        <f t="shared" si="26"/>
        <v>7505270.5332402643</v>
      </c>
      <c r="H421" s="1">
        <f t="shared" si="26"/>
        <v>8187567.8544439254</v>
      </c>
      <c r="I421" s="1">
        <f t="shared" si="26"/>
        <v>8869865.1756475866</v>
      </c>
      <c r="J421" s="1">
        <f t="shared" si="27"/>
        <v>9552162.4968512449</v>
      </c>
      <c r="K421" s="1">
        <f t="shared" si="27"/>
        <v>10234459.818054907</v>
      </c>
    </row>
    <row r="422" spans="1:11" x14ac:dyDescent="0.25">
      <c r="A422" t="s">
        <v>451</v>
      </c>
      <c r="B422" t="s">
        <v>452</v>
      </c>
      <c r="C422" t="s">
        <v>459</v>
      </c>
      <c r="D422" s="1">
        <v>1700000</v>
      </c>
      <c r="E422" s="1">
        <f t="shared" si="25"/>
        <v>1855604.4100990498</v>
      </c>
      <c r="F422" s="1">
        <f t="shared" si="26"/>
        <v>2120690.7543989141</v>
      </c>
      <c r="G422" s="1">
        <f t="shared" si="26"/>
        <v>2332759.8298388049</v>
      </c>
      <c r="H422" s="1">
        <f t="shared" si="26"/>
        <v>2544828.9052786967</v>
      </c>
      <c r="I422" s="1">
        <f t="shared" si="26"/>
        <v>2756897.980718588</v>
      </c>
      <c r="J422" s="1">
        <f t="shared" si="27"/>
        <v>2968967.0561584793</v>
      </c>
      <c r="K422" s="1">
        <f t="shared" si="27"/>
        <v>3181036.1315983706</v>
      </c>
    </row>
    <row r="423" spans="1:11" x14ac:dyDescent="0.25">
      <c r="A423" t="s">
        <v>451</v>
      </c>
      <c r="B423" t="s">
        <v>452</v>
      </c>
      <c r="C423" t="s">
        <v>460</v>
      </c>
      <c r="D423" s="1">
        <v>3342127</v>
      </c>
      <c r="E423" s="1">
        <f t="shared" si="25"/>
        <v>3648038.5884182979</v>
      </c>
      <c r="F423" s="1">
        <f t="shared" si="26"/>
        <v>4169186.9581923406</v>
      </c>
      <c r="G423" s="1">
        <f t="shared" si="26"/>
        <v>4586105.6540115746</v>
      </c>
      <c r="H423" s="1">
        <f t="shared" si="26"/>
        <v>5003024.3498308081</v>
      </c>
      <c r="I423" s="1">
        <f t="shared" si="26"/>
        <v>5419943.0456500426</v>
      </c>
      <c r="J423" s="1">
        <f t="shared" si="27"/>
        <v>5836861.7414692761</v>
      </c>
      <c r="K423" s="1">
        <f t="shared" si="27"/>
        <v>6253780.4372885106</v>
      </c>
    </row>
    <row r="424" spans="1:11" x14ac:dyDescent="0.25">
      <c r="A424" t="s">
        <v>451</v>
      </c>
      <c r="B424" t="s">
        <v>452</v>
      </c>
      <c r="C424" t="s">
        <v>461</v>
      </c>
      <c r="D424" s="1">
        <v>1700000</v>
      </c>
      <c r="E424" s="1">
        <f t="shared" si="25"/>
        <v>1855604.4100990498</v>
      </c>
      <c r="F424" s="1">
        <f t="shared" si="26"/>
        <v>2120690.7543989141</v>
      </c>
      <c r="G424" s="1">
        <f t="shared" si="26"/>
        <v>2332759.8298388049</v>
      </c>
      <c r="H424" s="1">
        <f t="shared" si="26"/>
        <v>2544828.9052786967</v>
      </c>
      <c r="I424" s="1">
        <f t="shared" si="26"/>
        <v>2756897.980718588</v>
      </c>
      <c r="J424" s="1">
        <f t="shared" si="27"/>
        <v>2968967.0561584793</v>
      </c>
      <c r="K424" s="1">
        <f t="shared" si="27"/>
        <v>3181036.1315983706</v>
      </c>
    </row>
    <row r="425" spans="1:11" x14ac:dyDescent="0.25">
      <c r="A425" t="s">
        <v>451</v>
      </c>
      <c r="B425" t="s">
        <v>452</v>
      </c>
      <c r="C425" t="s">
        <v>462</v>
      </c>
      <c r="D425" s="1">
        <v>2456605</v>
      </c>
      <c r="E425" s="1">
        <f t="shared" si="25"/>
        <v>2681462.9834537506</v>
      </c>
      <c r="F425" s="1">
        <f t="shared" si="26"/>
        <v>3064529.1239471436</v>
      </c>
      <c r="G425" s="1">
        <f t="shared" si="26"/>
        <v>3370982.0363418576</v>
      </c>
      <c r="H425" s="1">
        <f t="shared" si="26"/>
        <v>3677434.9487365722</v>
      </c>
      <c r="I425" s="1">
        <f t="shared" si="26"/>
        <v>3983887.8611312867</v>
      </c>
      <c r="J425" s="1">
        <f t="shared" si="27"/>
        <v>4290340.7735260008</v>
      </c>
      <c r="K425" s="1">
        <f t="shared" si="27"/>
        <v>4596793.6859207153</v>
      </c>
    </row>
    <row r="426" spans="1:11" x14ac:dyDescent="0.25">
      <c r="A426" t="s">
        <v>451</v>
      </c>
      <c r="B426" t="s">
        <v>452</v>
      </c>
      <c r="C426" t="s">
        <v>463</v>
      </c>
      <c r="D426" s="1">
        <v>1700000</v>
      </c>
      <c r="E426" s="1">
        <f t="shared" si="25"/>
        <v>1855604.4100990498</v>
      </c>
      <c r="F426" s="1">
        <f t="shared" si="26"/>
        <v>2120690.7543989141</v>
      </c>
      <c r="G426" s="1">
        <f t="shared" si="26"/>
        <v>2332759.8298388049</v>
      </c>
      <c r="H426" s="1">
        <f t="shared" si="26"/>
        <v>2544828.9052786967</v>
      </c>
      <c r="I426" s="1">
        <f t="shared" si="26"/>
        <v>2756897.980718588</v>
      </c>
      <c r="J426" s="1">
        <f t="shared" si="27"/>
        <v>2968967.0561584793</v>
      </c>
      <c r="K426" s="1">
        <f t="shared" si="27"/>
        <v>3181036.1315983706</v>
      </c>
    </row>
    <row r="427" spans="1:11" x14ac:dyDescent="0.25">
      <c r="A427" t="s">
        <v>451</v>
      </c>
      <c r="B427" t="s">
        <v>452</v>
      </c>
      <c r="C427" t="s">
        <v>464</v>
      </c>
      <c r="D427" s="1">
        <v>6148711</v>
      </c>
      <c r="E427" s="1">
        <f t="shared" si="25"/>
        <v>6711514.8517791405</v>
      </c>
      <c r="F427" s="1">
        <f t="shared" si="26"/>
        <v>7670302.6877475884</v>
      </c>
      <c r="G427" s="1">
        <f t="shared" si="26"/>
        <v>8437332.9565223455</v>
      </c>
      <c r="H427" s="1">
        <f t="shared" si="26"/>
        <v>9204363.2252971064</v>
      </c>
      <c r="I427" s="1">
        <f t="shared" si="26"/>
        <v>9971393.4940718655</v>
      </c>
      <c r="J427" s="1">
        <f t="shared" si="27"/>
        <v>10738423.762846623</v>
      </c>
      <c r="K427" s="1">
        <f t="shared" si="27"/>
        <v>11505454.031621382</v>
      </c>
    </row>
    <row r="428" spans="1:11" x14ac:dyDescent="0.25">
      <c r="A428" t="s">
        <v>451</v>
      </c>
      <c r="B428" t="s">
        <v>452</v>
      </c>
      <c r="C428" t="s">
        <v>465</v>
      </c>
      <c r="D428" s="1">
        <v>1700000</v>
      </c>
      <c r="E428" s="1">
        <f t="shared" si="25"/>
        <v>1855604.4100990498</v>
      </c>
      <c r="F428" s="1">
        <f t="shared" si="26"/>
        <v>2120690.7543989141</v>
      </c>
      <c r="G428" s="1">
        <f t="shared" si="26"/>
        <v>2332759.8298388049</v>
      </c>
      <c r="H428" s="1">
        <f t="shared" si="26"/>
        <v>2544828.9052786967</v>
      </c>
      <c r="I428" s="1">
        <f t="shared" si="26"/>
        <v>2756897.980718588</v>
      </c>
      <c r="J428" s="1">
        <f t="shared" si="27"/>
        <v>2968967.0561584793</v>
      </c>
      <c r="K428" s="1">
        <f t="shared" si="27"/>
        <v>3181036.1315983706</v>
      </c>
    </row>
    <row r="429" spans="1:11" x14ac:dyDescent="0.25">
      <c r="A429" t="s">
        <v>451</v>
      </c>
      <c r="B429" t="s">
        <v>452</v>
      </c>
      <c r="C429" t="s">
        <v>466</v>
      </c>
      <c r="D429" s="1">
        <v>1700000</v>
      </c>
      <c r="E429" s="1">
        <f t="shared" si="25"/>
        <v>1855604.4100990498</v>
      </c>
      <c r="F429" s="1">
        <f t="shared" si="26"/>
        <v>2120690.7543989141</v>
      </c>
      <c r="G429" s="1">
        <f t="shared" si="26"/>
        <v>2332759.8298388049</v>
      </c>
      <c r="H429" s="1">
        <f t="shared" si="26"/>
        <v>2544828.9052786967</v>
      </c>
      <c r="I429" s="1">
        <f t="shared" si="26"/>
        <v>2756897.980718588</v>
      </c>
      <c r="J429" s="1">
        <f t="shared" si="27"/>
        <v>2968967.0561584793</v>
      </c>
      <c r="K429" s="1">
        <f t="shared" si="27"/>
        <v>3181036.1315983706</v>
      </c>
    </row>
    <row r="430" spans="1:11" x14ac:dyDescent="0.25">
      <c r="A430" t="s">
        <v>451</v>
      </c>
      <c r="B430" t="s">
        <v>467</v>
      </c>
      <c r="C430" t="s">
        <v>468</v>
      </c>
      <c r="D430" s="1">
        <v>5698433</v>
      </c>
      <c r="E430" s="1">
        <f t="shared" si="25"/>
        <v>6220022.0032082107</v>
      </c>
      <c r="F430" s="1">
        <f t="shared" si="26"/>
        <v>7108596.5750950975</v>
      </c>
      <c r="G430" s="1">
        <f t="shared" si="26"/>
        <v>7819456.232604607</v>
      </c>
      <c r="H430" s="1">
        <f t="shared" si="26"/>
        <v>8530315.8901141174</v>
      </c>
      <c r="I430" s="1">
        <f t="shared" si="26"/>
        <v>9241175.5476236269</v>
      </c>
      <c r="J430" s="1">
        <f t="shared" si="27"/>
        <v>9952035.2051331364</v>
      </c>
      <c r="K430" s="1">
        <f t="shared" si="27"/>
        <v>10662894.862642646</v>
      </c>
    </row>
    <row r="431" spans="1:11" x14ac:dyDescent="0.25">
      <c r="A431" t="s">
        <v>451</v>
      </c>
      <c r="B431" t="s">
        <v>467</v>
      </c>
      <c r="C431" t="s">
        <v>469</v>
      </c>
      <c r="D431" s="1">
        <v>4527569</v>
      </c>
      <c r="E431" s="1">
        <f t="shared" si="25"/>
        <v>4941986.472604556</v>
      </c>
      <c r="F431" s="1">
        <f t="shared" si="26"/>
        <v>5647984.5401194924</v>
      </c>
      <c r="G431" s="1">
        <f t="shared" si="26"/>
        <v>6212782.9941314403</v>
      </c>
      <c r="H431" s="1">
        <f t="shared" si="26"/>
        <v>6777581.44814339</v>
      </c>
      <c r="I431" s="1">
        <f t="shared" si="26"/>
        <v>7342379.9021553397</v>
      </c>
      <c r="J431" s="1">
        <f t="shared" si="27"/>
        <v>7907178.3561672876</v>
      </c>
      <c r="K431" s="1">
        <f t="shared" si="27"/>
        <v>8471976.8101792373</v>
      </c>
    </row>
    <row r="432" spans="1:11" x14ac:dyDescent="0.25">
      <c r="A432" t="s">
        <v>451</v>
      </c>
      <c r="B432" t="s">
        <v>467</v>
      </c>
      <c r="C432" t="s">
        <v>470</v>
      </c>
      <c r="D432" s="1">
        <v>6887928</v>
      </c>
      <c r="E432" s="1">
        <f t="shared" si="25"/>
        <v>7518393.8666145457</v>
      </c>
      <c r="F432" s="1">
        <f t="shared" si="26"/>
        <v>8592450.1332737654</v>
      </c>
      <c r="G432" s="1">
        <f t="shared" si="26"/>
        <v>9451695.1466011424</v>
      </c>
      <c r="H432" s="1">
        <f t="shared" si="26"/>
        <v>10310940.159928519</v>
      </c>
      <c r="I432" s="1">
        <f t="shared" si="26"/>
        <v>11170185.173255896</v>
      </c>
      <c r="J432" s="1">
        <f t="shared" si="27"/>
        <v>12029430.186583271</v>
      </c>
      <c r="K432" s="1">
        <f t="shared" si="27"/>
        <v>12888675.199910648</v>
      </c>
    </row>
    <row r="433" spans="1:11" x14ac:dyDescent="0.25">
      <c r="A433" t="s">
        <v>451</v>
      </c>
      <c r="B433" t="s">
        <v>467</v>
      </c>
      <c r="C433" t="s">
        <v>471</v>
      </c>
      <c r="D433" s="1">
        <v>8901221</v>
      </c>
      <c r="E433" s="1">
        <f t="shared" si="25"/>
        <v>9715967.6134507488</v>
      </c>
      <c r="F433" s="1">
        <f t="shared" si="26"/>
        <v>11103962.986800857</v>
      </c>
      <c r="G433" s="1">
        <f t="shared" si="26"/>
        <v>12214359.285480941</v>
      </c>
      <c r="H433" s="1">
        <f t="shared" si="26"/>
        <v>13324755.584161026</v>
      </c>
      <c r="I433" s="1">
        <f t="shared" si="26"/>
        <v>14435151.882841112</v>
      </c>
      <c r="J433" s="1">
        <f t="shared" si="27"/>
        <v>15545548.181521196</v>
      </c>
      <c r="K433" s="1">
        <f t="shared" si="27"/>
        <v>16655944.480201283</v>
      </c>
    </row>
    <row r="434" spans="1:11" x14ac:dyDescent="0.25">
      <c r="A434" t="s">
        <v>451</v>
      </c>
      <c r="B434" t="s">
        <v>467</v>
      </c>
      <c r="C434" t="s">
        <v>472</v>
      </c>
      <c r="D434" s="1">
        <v>5387207</v>
      </c>
      <c r="E434" s="1">
        <f t="shared" si="25"/>
        <v>5880308.8631273359</v>
      </c>
      <c r="F434" s="1">
        <f t="shared" si="26"/>
        <v>6720352.986431241</v>
      </c>
      <c r="G434" s="1">
        <f t="shared" si="26"/>
        <v>7392388.2850743644</v>
      </c>
      <c r="H434" s="1">
        <f t="shared" si="26"/>
        <v>8064423.5837174887</v>
      </c>
      <c r="I434" s="1">
        <f t="shared" si="26"/>
        <v>8736458.882360613</v>
      </c>
      <c r="J434" s="1">
        <f t="shared" si="27"/>
        <v>9408494.1810037363</v>
      </c>
      <c r="K434" s="1">
        <f t="shared" si="27"/>
        <v>10080529.479646862</v>
      </c>
    </row>
    <row r="435" spans="1:11" x14ac:dyDescent="0.25">
      <c r="A435" t="s">
        <v>451</v>
      </c>
      <c r="B435" t="s">
        <v>467</v>
      </c>
      <c r="C435" t="s">
        <v>473</v>
      </c>
      <c r="D435" s="1">
        <v>2401744</v>
      </c>
      <c r="E435" s="1">
        <f t="shared" si="25"/>
        <v>2621580.4460758423</v>
      </c>
      <c r="F435" s="1">
        <f t="shared" si="26"/>
        <v>2996091.9383723913</v>
      </c>
      <c r="G435" s="1">
        <f t="shared" si="26"/>
        <v>3295701.1322096302</v>
      </c>
      <c r="H435" s="1">
        <f t="shared" si="26"/>
        <v>3595310.3260468692</v>
      </c>
      <c r="I435" s="1">
        <f t="shared" si="26"/>
        <v>3894919.5198841086</v>
      </c>
      <c r="J435" s="1">
        <f t="shared" si="27"/>
        <v>4194528.713721347</v>
      </c>
      <c r="K435" s="1">
        <f t="shared" si="27"/>
        <v>4494137.9075585864</v>
      </c>
    </row>
    <row r="436" spans="1:11" x14ac:dyDescent="0.25">
      <c r="A436" t="s">
        <v>451</v>
      </c>
      <c r="B436" t="s">
        <v>467</v>
      </c>
      <c r="C436" t="s">
        <v>474</v>
      </c>
      <c r="D436" s="1">
        <v>5055172</v>
      </c>
      <c r="E436" s="1">
        <f t="shared" si="25"/>
        <v>5517882.0335348435</v>
      </c>
      <c r="F436" s="1">
        <f t="shared" si="26"/>
        <v>6306150.8954683924</v>
      </c>
      <c r="G436" s="1">
        <f t="shared" si="26"/>
        <v>6936765.9850152303</v>
      </c>
      <c r="H436" s="1">
        <f t="shared" si="26"/>
        <v>7567381.07456207</v>
      </c>
      <c r="I436" s="1">
        <f t="shared" si="26"/>
        <v>8197996.1641089097</v>
      </c>
      <c r="J436" s="1">
        <f t="shared" si="27"/>
        <v>8828611.2536557484</v>
      </c>
      <c r="K436" s="1">
        <f t="shared" si="27"/>
        <v>9459226.3432025872</v>
      </c>
    </row>
    <row r="437" spans="1:11" x14ac:dyDescent="0.25">
      <c r="A437" t="s">
        <v>451</v>
      </c>
      <c r="B437" t="s">
        <v>467</v>
      </c>
      <c r="C437" t="s">
        <v>475</v>
      </c>
      <c r="D437" s="1">
        <v>2103578</v>
      </c>
      <c r="E437" s="1">
        <f t="shared" si="25"/>
        <v>2296122.7139925524</v>
      </c>
      <c r="F437" s="1">
        <f t="shared" si="26"/>
        <v>2624140.2445629169</v>
      </c>
      <c r="G437" s="1">
        <f t="shared" si="26"/>
        <v>2886554.2690192084</v>
      </c>
      <c r="H437" s="1">
        <f t="shared" si="26"/>
        <v>3148968.2934754998</v>
      </c>
      <c r="I437" s="1">
        <f t="shared" si="26"/>
        <v>3411382.3179317918</v>
      </c>
      <c r="J437" s="1">
        <f t="shared" si="27"/>
        <v>3673796.3423880832</v>
      </c>
      <c r="K437" s="1">
        <f t="shared" si="27"/>
        <v>3936210.3668443752</v>
      </c>
    </row>
    <row r="438" spans="1:11" x14ac:dyDescent="0.25">
      <c r="A438" t="s">
        <v>451</v>
      </c>
      <c r="B438" t="s">
        <v>467</v>
      </c>
      <c r="C438" t="s">
        <v>476</v>
      </c>
      <c r="D438" s="1">
        <v>4529427</v>
      </c>
      <c r="E438" s="1">
        <f t="shared" si="25"/>
        <v>4944014.5390715934</v>
      </c>
      <c r="F438" s="1">
        <f t="shared" si="26"/>
        <v>5650302.3303675354</v>
      </c>
      <c r="G438" s="1">
        <f t="shared" si="26"/>
        <v>6215332.5634042881</v>
      </c>
      <c r="H438" s="1">
        <f t="shared" si="26"/>
        <v>6780362.7964410419</v>
      </c>
      <c r="I438" s="1">
        <f t="shared" si="26"/>
        <v>7345393.0294777956</v>
      </c>
      <c r="J438" s="1">
        <f t="shared" si="27"/>
        <v>7910423.2625145484</v>
      </c>
      <c r="K438" s="1">
        <f t="shared" si="27"/>
        <v>8475453.4955513012</v>
      </c>
    </row>
    <row r="439" spans="1:11" x14ac:dyDescent="0.25">
      <c r="A439" t="s">
        <v>451</v>
      </c>
      <c r="B439" t="s">
        <v>467</v>
      </c>
      <c r="C439" t="s">
        <v>477</v>
      </c>
      <c r="D439" s="1">
        <v>1700000</v>
      </c>
      <c r="E439" s="1">
        <f t="shared" si="25"/>
        <v>1855604.4100990498</v>
      </c>
      <c r="F439" s="1">
        <f t="shared" si="26"/>
        <v>2120690.7543989141</v>
      </c>
      <c r="G439" s="1">
        <f t="shared" si="26"/>
        <v>2332759.8298388049</v>
      </c>
      <c r="H439" s="1">
        <f t="shared" si="26"/>
        <v>2544828.9052786967</v>
      </c>
      <c r="I439" s="1">
        <f t="shared" si="26"/>
        <v>2756897.980718588</v>
      </c>
      <c r="J439" s="1">
        <f t="shared" si="27"/>
        <v>2968967.0561584793</v>
      </c>
      <c r="K439" s="1">
        <f t="shared" si="27"/>
        <v>3181036.1315983706</v>
      </c>
    </row>
    <row r="440" spans="1:11" x14ac:dyDescent="0.25">
      <c r="A440" t="s">
        <v>451</v>
      </c>
      <c r="B440" t="s">
        <v>467</v>
      </c>
      <c r="C440" t="s">
        <v>478</v>
      </c>
      <c r="D440" s="1">
        <v>3957223</v>
      </c>
      <c r="E440" s="1">
        <f t="shared" si="25"/>
        <v>4319435.5591443479</v>
      </c>
      <c r="F440" s="1">
        <f t="shared" si="26"/>
        <v>4936497.7818792546</v>
      </c>
      <c r="G440" s="1">
        <f t="shared" si="26"/>
        <v>5430147.5600671796</v>
      </c>
      <c r="H440" s="1">
        <f t="shared" si="26"/>
        <v>5923797.3382551055</v>
      </c>
      <c r="I440" s="1">
        <f t="shared" si="26"/>
        <v>6417447.1164430315</v>
      </c>
      <c r="J440" s="1">
        <f t="shared" si="27"/>
        <v>6911096.8946309565</v>
      </c>
      <c r="K440" s="1">
        <f t="shared" si="27"/>
        <v>7404746.6728188824</v>
      </c>
    </row>
    <row r="441" spans="1:11" x14ac:dyDescent="0.25">
      <c r="A441" t="s">
        <v>451</v>
      </c>
      <c r="B441" t="s">
        <v>467</v>
      </c>
      <c r="C441" t="s">
        <v>479</v>
      </c>
      <c r="D441" s="1">
        <v>2663205</v>
      </c>
      <c r="E441" s="1">
        <f t="shared" si="25"/>
        <v>2906973.495881082</v>
      </c>
      <c r="F441" s="1">
        <f t="shared" si="26"/>
        <v>3322255.4238640941</v>
      </c>
      <c r="G441" s="1">
        <f t="shared" si="26"/>
        <v>3654480.966250503</v>
      </c>
      <c r="H441" s="1">
        <f t="shared" si="26"/>
        <v>3986706.5086369123</v>
      </c>
      <c r="I441" s="1">
        <f t="shared" si="26"/>
        <v>4318932.0510233222</v>
      </c>
      <c r="J441" s="1">
        <f t="shared" si="27"/>
        <v>4651157.5934097311</v>
      </c>
      <c r="K441" s="1">
        <f t="shared" si="27"/>
        <v>4983383.1357961409</v>
      </c>
    </row>
    <row r="442" spans="1:11" x14ac:dyDescent="0.25">
      <c r="A442" t="s">
        <v>451</v>
      </c>
      <c r="B442" t="s">
        <v>467</v>
      </c>
      <c r="C442" t="s">
        <v>480</v>
      </c>
      <c r="D442" s="1">
        <v>4812583</v>
      </c>
      <c r="E442" s="1">
        <f t="shared" si="25"/>
        <v>5253088.3757457146</v>
      </c>
      <c r="F442" s="1">
        <f t="shared" si="26"/>
        <v>6003529.5722808167</v>
      </c>
      <c r="G442" s="1">
        <f t="shared" si="26"/>
        <v>6603882.529508898</v>
      </c>
      <c r="H442" s="1">
        <f t="shared" si="26"/>
        <v>7204235.4867369793</v>
      </c>
      <c r="I442" s="1">
        <f t="shared" si="26"/>
        <v>7804588.4439650616</v>
      </c>
      <c r="J442" s="1">
        <f t="shared" si="27"/>
        <v>8404941.4011931419</v>
      </c>
      <c r="K442" s="1">
        <f t="shared" si="27"/>
        <v>9005294.3584212251</v>
      </c>
    </row>
    <row r="443" spans="1:11" x14ac:dyDescent="0.25">
      <c r="A443" t="s">
        <v>451</v>
      </c>
      <c r="B443" t="s">
        <v>467</v>
      </c>
      <c r="C443" t="s">
        <v>481</v>
      </c>
      <c r="D443" s="1">
        <v>2858334</v>
      </c>
      <c r="E443" s="1">
        <f t="shared" si="25"/>
        <v>3119963.0446682689</v>
      </c>
      <c r="F443" s="1">
        <f t="shared" si="26"/>
        <v>3565672.0510494499</v>
      </c>
      <c r="G443" s="1">
        <f t="shared" si="26"/>
        <v>3922239.2561543947</v>
      </c>
      <c r="H443" s="1">
        <f t="shared" si="26"/>
        <v>4278806.4612593399</v>
      </c>
      <c r="I443" s="1">
        <f t="shared" si="26"/>
        <v>4635373.6663642852</v>
      </c>
      <c r="J443" s="1">
        <f t="shared" si="27"/>
        <v>4991940.8714692295</v>
      </c>
      <c r="K443" s="1">
        <f t="shared" si="27"/>
        <v>5348508.0765741747</v>
      </c>
    </row>
    <row r="444" spans="1:11" x14ac:dyDescent="0.25">
      <c r="A444" t="s">
        <v>451</v>
      </c>
      <c r="B444" t="s">
        <v>482</v>
      </c>
      <c r="C444" t="s">
        <v>483</v>
      </c>
      <c r="D444" s="1">
        <v>2881129</v>
      </c>
      <c r="E444" s="1">
        <f t="shared" si="25"/>
        <v>3144844.5167436856</v>
      </c>
      <c r="F444" s="1">
        <f t="shared" si="26"/>
        <v>3594108.0191356405</v>
      </c>
      <c r="G444" s="1">
        <f t="shared" si="26"/>
        <v>3953518.8210492041</v>
      </c>
      <c r="H444" s="1">
        <f t="shared" si="26"/>
        <v>4312929.6229627682</v>
      </c>
      <c r="I444" s="1">
        <f t="shared" si="26"/>
        <v>4672340.4248763323</v>
      </c>
      <c r="J444" s="1">
        <f t="shared" si="27"/>
        <v>5031751.2267898964</v>
      </c>
      <c r="K444" s="1">
        <f t="shared" si="27"/>
        <v>5391162.0287034605</v>
      </c>
    </row>
    <row r="445" spans="1:11" x14ac:dyDescent="0.25">
      <c r="A445" t="s">
        <v>451</v>
      </c>
      <c r="B445" t="s">
        <v>482</v>
      </c>
      <c r="C445" t="s">
        <v>484</v>
      </c>
      <c r="D445" s="1">
        <v>5745677</v>
      </c>
      <c r="E445" s="1">
        <f t="shared" si="25"/>
        <v>6271590.3412968693</v>
      </c>
      <c r="F445" s="1">
        <f t="shared" si="26"/>
        <v>7167531.8186249938</v>
      </c>
      <c r="G445" s="1">
        <f t="shared" si="26"/>
        <v>7884285.0004874915</v>
      </c>
      <c r="H445" s="1">
        <f t="shared" si="26"/>
        <v>8601038.1823499911</v>
      </c>
      <c r="I445" s="1">
        <f t="shared" si="26"/>
        <v>9317791.3642124906</v>
      </c>
      <c r="J445" s="1">
        <f t="shared" si="27"/>
        <v>10034544.54607499</v>
      </c>
      <c r="K445" s="1">
        <f t="shared" si="27"/>
        <v>10751297.72793749</v>
      </c>
    </row>
    <row r="446" spans="1:11" x14ac:dyDescent="0.25">
      <c r="A446" t="s">
        <v>451</v>
      </c>
      <c r="B446" t="s">
        <v>482</v>
      </c>
      <c r="C446" t="s">
        <v>485</v>
      </c>
      <c r="D446" s="1">
        <v>2879762</v>
      </c>
      <c r="E446" s="1">
        <f t="shared" si="25"/>
        <v>3143352.3924915646</v>
      </c>
      <c r="F446" s="1">
        <f t="shared" si="26"/>
        <v>3592402.7342760735</v>
      </c>
      <c r="G446" s="1">
        <f t="shared" si="26"/>
        <v>3951643.0077036805</v>
      </c>
      <c r="H446" s="1">
        <f t="shared" si="26"/>
        <v>4310883.281131288</v>
      </c>
      <c r="I446" s="1">
        <f t="shared" si="26"/>
        <v>4670123.5545588955</v>
      </c>
      <c r="J446" s="1">
        <f t="shared" si="27"/>
        <v>5029363.827986503</v>
      </c>
      <c r="K446" s="1">
        <f t="shared" si="27"/>
        <v>5388604.1014141105</v>
      </c>
    </row>
    <row r="447" spans="1:11" x14ac:dyDescent="0.25">
      <c r="A447" t="s">
        <v>451</v>
      </c>
      <c r="B447" t="s">
        <v>482</v>
      </c>
      <c r="C447" t="s">
        <v>486</v>
      </c>
      <c r="D447" s="1">
        <v>4700840</v>
      </c>
      <c r="E447" s="1">
        <f t="shared" si="25"/>
        <v>5131117.3148058923</v>
      </c>
      <c r="F447" s="1">
        <f t="shared" si="26"/>
        <v>5864134.0740638766</v>
      </c>
      <c r="G447" s="1">
        <f t="shared" si="26"/>
        <v>6450547.4814702636</v>
      </c>
      <c r="H447" s="1">
        <f t="shared" si="26"/>
        <v>7036960.8888766514</v>
      </c>
      <c r="I447" s="1">
        <f t="shared" si="26"/>
        <v>7623374.2962830402</v>
      </c>
      <c r="J447" s="1">
        <f t="shared" si="27"/>
        <v>8209787.7036894271</v>
      </c>
      <c r="K447" s="1">
        <f t="shared" si="27"/>
        <v>8796201.111095814</v>
      </c>
    </row>
    <row r="448" spans="1:11" x14ac:dyDescent="0.25">
      <c r="A448" t="s">
        <v>451</v>
      </c>
      <c r="B448" t="s">
        <v>482</v>
      </c>
      <c r="C448" t="s">
        <v>487</v>
      </c>
      <c r="D448" s="1">
        <v>3957840</v>
      </c>
      <c r="E448" s="1">
        <f t="shared" si="25"/>
        <v>4320109.0343920132</v>
      </c>
      <c r="F448" s="1">
        <f t="shared" si="26"/>
        <v>4937267.4678765871</v>
      </c>
      <c r="G448" s="1">
        <f t="shared" si="26"/>
        <v>5430994.214664245</v>
      </c>
      <c r="H448" s="1">
        <f t="shared" si="26"/>
        <v>5924720.9614519039</v>
      </c>
      <c r="I448" s="1">
        <f t="shared" si="26"/>
        <v>6418447.7082395628</v>
      </c>
      <c r="J448" s="1">
        <f t="shared" si="27"/>
        <v>6912174.4550272208</v>
      </c>
      <c r="K448" s="1">
        <f t="shared" si="27"/>
        <v>7405901.2018148797</v>
      </c>
    </row>
    <row r="449" spans="1:11" x14ac:dyDescent="0.25">
      <c r="A449" t="s">
        <v>451</v>
      </c>
      <c r="B449" t="s">
        <v>482</v>
      </c>
      <c r="C449" t="s">
        <v>488</v>
      </c>
      <c r="D449" s="1">
        <v>10299398</v>
      </c>
      <c r="E449" s="1">
        <f t="shared" si="25"/>
        <v>11242122.558920784</v>
      </c>
      <c r="F449" s="1">
        <f t="shared" si="26"/>
        <v>12848140.067338038</v>
      </c>
      <c r="G449" s="1">
        <f t="shared" si="26"/>
        <v>14132954.074071841</v>
      </c>
      <c r="H449" s="1">
        <f t="shared" si="26"/>
        <v>15417768.080805644</v>
      </c>
      <c r="I449" s="1">
        <f t="shared" si="26"/>
        <v>16702582.087539449</v>
      </c>
      <c r="J449" s="1">
        <f t="shared" si="27"/>
        <v>17987396.094273251</v>
      </c>
      <c r="K449" s="1">
        <f t="shared" si="27"/>
        <v>19272210.101007055</v>
      </c>
    </row>
    <row r="450" spans="1:11" x14ac:dyDescent="0.25">
      <c r="A450" t="s">
        <v>451</v>
      </c>
      <c r="B450" t="s">
        <v>482</v>
      </c>
      <c r="C450" t="s">
        <v>489</v>
      </c>
      <c r="D450" s="1">
        <v>7767741</v>
      </c>
      <c r="E450" s="1">
        <f t="shared" si="25"/>
        <v>8478737.9153571781</v>
      </c>
      <c r="F450" s="1">
        <f t="shared" si="26"/>
        <v>9689986.1889796313</v>
      </c>
      <c r="G450" s="1">
        <f t="shared" si="26"/>
        <v>10658984.807877595</v>
      </c>
      <c r="H450" s="1">
        <f t="shared" si="26"/>
        <v>11627983.426775558</v>
      </c>
      <c r="I450" s="1">
        <f t="shared" si="26"/>
        <v>12596982.045673521</v>
      </c>
      <c r="J450" s="1">
        <f t="shared" si="27"/>
        <v>13565980.664571483</v>
      </c>
      <c r="K450" s="1">
        <f t="shared" si="27"/>
        <v>14534979.283469448</v>
      </c>
    </row>
    <row r="451" spans="1:11" x14ac:dyDescent="0.25">
      <c r="A451" t="s">
        <v>451</v>
      </c>
      <c r="B451" t="s">
        <v>482</v>
      </c>
      <c r="C451" t="s">
        <v>490</v>
      </c>
      <c r="D451" s="1">
        <v>9950884</v>
      </c>
      <c r="E451" s="1">
        <f t="shared" si="25"/>
        <v>10861708.373402396</v>
      </c>
      <c r="F451" s="1">
        <f t="shared" si="26"/>
        <v>12413380.998174166</v>
      </c>
      <c r="G451" s="1">
        <f t="shared" si="26"/>
        <v>13654719.097991582</v>
      </c>
      <c r="H451" s="1">
        <f t="shared" si="26"/>
        <v>14896057.197808998</v>
      </c>
      <c r="I451" s="1">
        <f t="shared" ref="I451" si="28">I$1/SUM($D$3:$D$696)*$D451</f>
        <v>16137395.297626415</v>
      </c>
      <c r="J451" s="1">
        <f t="shared" si="27"/>
        <v>17378733.397443831</v>
      </c>
      <c r="K451" s="1">
        <f t="shared" si="27"/>
        <v>18620071.497261249</v>
      </c>
    </row>
    <row r="452" spans="1:11" x14ac:dyDescent="0.25">
      <c r="A452" t="s">
        <v>451</v>
      </c>
      <c r="B452" t="s">
        <v>482</v>
      </c>
      <c r="C452" t="s">
        <v>491</v>
      </c>
      <c r="D452" s="1">
        <v>3682741</v>
      </c>
      <c r="E452" s="1">
        <f t="shared" ref="E452:E515" si="29">$E$1/SUM($D$3:$D$696)*D452</f>
        <v>4019829.6710897558</v>
      </c>
      <c r="F452" s="1">
        <f t="shared" ref="F452:I515" si="30">F$1/SUM($D$3:$D$696)*$D452</f>
        <v>4594091.0526740067</v>
      </c>
      <c r="G452" s="1">
        <f t="shared" si="30"/>
        <v>5053500.1579414066</v>
      </c>
      <c r="H452" s="1">
        <f t="shared" si="30"/>
        <v>5512909.2632088074</v>
      </c>
      <c r="I452" s="1">
        <f t="shared" si="30"/>
        <v>5972318.3684762083</v>
      </c>
      <c r="J452" s="1">
        <f t="shared" ref="J452:K515" si="31">J$1/SUM($D$3:$D$696)*$D452</f>
        <v>6431727.4737436082</v>
      </c>
      <c r="K452" s="1">
        <f t="shared" si="31"/>
        <v>6891136.5790110091</v>
      </c>
    </row>
    <row r="453" spans="1:11" x14ac:dyDescent="0.25">
      <c r="A453" t="s">
        <v>451</v>
      </c>
      <c r="B453" t="s">
        <v>482</v>
      </c>
      <c r="C453" t="s">
        <v>492</v>
      </c>
      <c r="D453" s="1">
        <v>4749772</v>
      </c>
      <c r="E453" s="1">
        <f t="shared" si="29"/>
        <v>5184528.1589205787</v>
      </c>
      <c r="F453" s="1">
        <f t="shared" si="30"/>
        <v>5925175.0387663757</v>
      </c>
      <c r="G453" s="1">
        <f t="shared" si="30"/>
        <v>6517692.5426430125</v>
      </c>
      <c r="H453" s="1">
        <f t="shared" si="30"/>
        <v>7110210.0465196501</v>
      </c>
      <c r="I453" s="1">
        <f t="shared" si="30"/>
        <v>7702727.5503962878</v>
      </c>
      <c r="J453" s="1">
        <f t="shared" si="31"/>
        <v>8295245.0542729245</v>
      </c>
      <c r="K453" s="1">
        <f t="shared" si="31"/>
        <v>8887762.5581495631</v>
      </c>
    </row>
    <row r="454" spans="1:11" x14ac:dyDescent="0.25">
      <c r="A454" t="s">
        <v>451</v>
      </c>
      <c r="B454" t="s">
        <v>482</v>
      </c>
      <c r="C454" t="s">
        <v>493</v>
      </c>
      <c r="D454" s="1">
        <v>6939230</v>
      </c>
      <c r="E454" s="1">
        <f t="shared" si="29"/>
        <v>7574391.6415833114</v>
      </c>
      <c r="F454" s="1">
        <f t="shared" si="30"/>
        <v>8656447.5903809275</v>
      </c>
      <c r="G454" s="1">
        <f t="shared" si="30"/>
        <v>9522092.3494190183</v>
      </c>
      <c r="H454" s="1">
        <f t="shared" si="30"/>
        <v>10387737.108457111</v>
      </c>
      <c r="I454" s="1">
        <f t="shared" si="30"/>
        <v>11253381.867495205</v>
      </c>
      <c r="J454" s="1">
        <f t="shared" si="31"/>
        <v>12119026.626533296</v>
      </c>
      <c r="K454" s="1">
        <f t="shared" si="31"/>
        <v>12984671.38557139</v>
      </c>
    </row>
    <row r="455" spans="1:11" x14ac:dyDescent="0.25">
      <c r="A455" t="s">
        <v>451</v>
      </c>
      <c r="B455" t="s">
        <v>482</v>
      </c>
      <c r="C455" t="s">
        <v>494</v>
      </c>
      <c r="D455" s="1">
        <v>9314444</v>
      </c>
      <c r="E455" s="1">
        <f t="shared" si="29"/>
        <v>10167013.74354155</v>
      </c>
      <c r="F455" s="1">
        <f t="shared" si="30"/>
        <v>11619444.278333198</v>
      </c>
      <c r="G455" s="1">
        <f t="shared" si="30"/>
        <v>12781388.706166517</v>
      </c>
      <c r="H455" s="1">
        <f t="shared" si="30"/>
        <v>13943333.133999838</v>
      </c>
      <c r="I455" s="1">
        <f t="shared" si="30"/>
        <v>15105277.561833158</v>
      </c>
      <c r="J455" s="1">
        <f t="shared" si="31"/>
        <v>16267221.989666477</v>
      </c>
      <c r="K455" s="1">
        <f t="shared" si="31"/>
        <v>17429166.417499796</v>
      </c>
    </row>
    <row r="456" spans="1:11" x14ac:dyDescent="0.25">
      <c r="A456" t="s">
        <v>451</v>
      </c>
      <c r="B456" t="s">
        <v>482</v>
      </c>
      <c r="C456" t="s">
        <v>495</v>
      </c>
      <c r="D456" s="1">
        <v>4683613</v>
      </c>
      <c r="E456" s="1">
        <f t="shared" si="29"/>
        <v>5112313.4929395532</v>
      </c>
      <c r="F456" s="1">
        <f t="shared" si="30"/>
        <v>5842643.9919309178</v>
      </c>
      <c r="G456" s="1">
        <f t="shared" si="30"/>
        <v>6426908.3911240092</v>
      </c>
      <c r="H456" s="1">
        <f t="shared" si="30"/>
        <v>7011172.7903171014</v>
      </c>
      <c r="I456" s="1">
        <f t="shared" si="30"/>
        <v>7595437.1895101937</v>
      </c>
      <c r="J456" s="1">
        <f t="shared" si="31"/>
        <v>8179701.588703284</v>
      </c>
      <c r="K456" s="1">
        <f t="shared" si="31"/>
        <v>8763965.9878963772</v>
      </c>
    </row>
    <row r="457" spans="1:11" x14ac:dyDescent="0.25">
      <c r="A457" t="s">
        <v>451</v>
      </c>
      <c r="B457" t="s">
        <v>482</v>
      </c>
      <c r="C457" t="s">
        <v>496</v>
      </c>
      <c r="D457" s="1">
        <v>3228224</v>
      </c>
      <c r="E457" s="1">
        <f t="shared" si="29"/>
        <v>3523709.818345644</v>
      </c>
      <c r="F457" s="1">
        <f t="shared" si="30"/>
        <v>4027096.9352521645</v>
      </c>
      <c r="G457" s="1">
        <f t="shared" si="30"/>
        <v>4429806.6287773801</v>
      </c>
      <c r="H457" s="1">
        <f t="shared" si="30"/>
        <v>4832516.3223025966</v>
      </c>
      <c r="I457" s="1">
        <f t="shared" si="30"/>
        <v>5235226.0158278141</v>
      </c>
      <c r="J457" s="1">
        <f t="shared" si="31"/>
        <v>5637935.7093530297</v>
      </c>
      <c r="K457" s="1">
        <f t="shared" si="31"/>
        <v>6040645.4028782463</v>
      </c>
    </row>
    <row r="458" spans="1:11" x14ac:dyDescent="0.25">
      <c r="A458" t="s">
        <v>451</v>
      </c>
      <c r="B458" t="s">
        <v>497</v>
      </c>
      <c r="C458" t="s">
        <v>498</v>
      </c>
      <c r="D458" s="1">
        <v>5340037</v>
      </c>
      <c r="E458" s="1">
        <f t="shared" si="29"/>
        <v>5828821.2984071169</v>
      </c>
      <c r="F458" s="1">
        <f t="shared" si="30"/>
        <v>6661510.0553224199</v>
      </c>
      <c r="G458" s="1">
        <f t="shared" si="30"/>
        <v>7327661.0608546603</v>
      </c>
      <c r="H458" s="1">
        <f t="shared" si="30"/>
        <v>7993812.0663869027</v>
      </c>
      <c r="I458" s="1">
        <f t="shared" si="30"/>
        <v>8659963.0719191451</v>
      </c>
      <c r="J458" s="1">
        <f t="shared" si="31"/>
        <v>9326114.0774513856</v>
      </c>
      <c r="K458" s="1">
        <f t="shared" si="31"/>
        <v>9992265.0829836279</v>
      </c>
    </row>
    <row r="459" spans="1:11" x14ac:dyDescent="0.25">
      <c r="A459" t="s">
        <v>451</v>
      </c>
      <c r="B459" t="s">
        <v>497</v>
      </c>
      <c r="C459" t="s">
        <v>499</v>
      </c>
      <c r="D459" s="1">
        <v>5369247</v>
      </c>
      <c r="E459" s="1">
        <f t="shared" si="29"/>
        <v>5860704.9483006429</v>
      </c>
      <c r="F459" s="1">
        <f t="shared" si="30"/>
        <v>6697948.5123435911</v>
      </c>
      <c r="G459" s="1">
        <f t="shared" si="30"/>
        <v>7367743.3635779498</v>
      </c>
      <c r="H459" s="1">
        <f t="shared" si="30"/>
        <v>8037538.2148123095</v>
      </c>
      <c r="I459" s="1">
        <f t="shared" si="30"/>
        <v>8707333.0660466682</v>
      </c>
      <c r="J459" s="1">
        <f t="shared" si="31"/>
        <v>9377127.9172810279</v>
      </c>
      <c r="K459" s="1">
        <f t="shared" si="31"/>
        <v>10046922.768515386</v>
      </c>
    </row>
    <row r="460" spans="1:11" x14ac:dyDescent="0.25">
      <c r="A460" t="s">
        <v>451</v>
      </c>
      <c r="B460" t="s">
        <v>497</v>
      </c>
      <c r="C460" t="s">
        <v>500</v>
      </c>
      <c r="D460" s="1">
        <v>5268111</v>
      </c>
      <c r="E460" s="1">
        <f t="shared" si="29"/>
        <v>5750311.7673478322</v>
      </c>
      <c r="F460" s="1">
        <f t="shared" si="30"/>
        <v>6571784.876968951</v>
      </c>
      <c r="G460" s="1">
        <f t="shared" si="30"/>
        <v>7228963.3646658454</v>
      </c>
      <c r="H460" s="1">
        <f t="shared" si="30"/>
        <v>7886141.8523627408</v>
      </c>
      <c r="I460" s="1">
        <f t="shared" si="30"/>
        <v>8543320.3400596362</v>
      </c>
      <c r="J460" s="1">
        <f t="shared" si="31"/>
        <v>9200498.8277565315</v>
      </c>
      <c r="K460" s="1">
        <f t="shared" si="31"/>
        <v>9857677.3154534269</v>
      </c>
    </row>
    <row r="461" spans="1:11" x14ac:dyDescent="0.25">
      <c r="A461" t="s">
        <v>451</v>
      </c>
      <c r="B461" t="s">
        <v>497</v>
      </c>
      <c r="C461" t="s">
        <v>501</v>
      </c>
      <c r="D461" s="1">
        <v>3137331</v>
      </c>
      <c r="E461" s="1">
        <f t="shared" si="29"/>
        <v>3424497.1997296833</v>
      </c>
      <c r="F461" s="1">
        <f t="shared" si="30"/>
        <v>3913711.0854053525</v>
      </c>
      <c r="G461" s="1">
        <f t="shared" si="30"/>
        <v>4305082.1939458875</v>
      </c>
      <c r="H461" s="1">
        <f t="shared" si="30"/>
        <v>4696453.3024864225</v>
      </c>
      <c r="I461" s="1">
        <f t="shared" si="30"/>
        <v>5087824.4110269584</v>
      </c>
      <c r="J461" s="1">
        <f t="shared" si="31"/>
        <v>5479195.5195674924</v>
      </c>
      <c r="K461" s="1">
        <f t="shared" si="31"/>
        <v>5870566.6281080283</v>
      </c>
    </row>
    <row r="462" spans="1:11" x14ac:dyDescent="0.25">
      <c r="A462" t="s">
        <v>451</v>
      </c>
      <c r="B462" t="s">
        <v>497</v>
      </c>
      <c r="C462" t="s">
        <v>502</v>
      </c>
      <c r="D462" s="1">
        <v>3219249</v>
      </c>
      <c r="E462" s="1">
        <f t="shared" si="29"/>
        <v>3513913.3185923267</v>
      </c>
      <c r="F462" s="1">
        <f t="shared" si="30"/>
        <v>4015900.9355340879</v>
      </c>
      <c r="G462" s="1">
        <f t="shared" si="30"/>
        <v>4417491.029087496</v>
      </c>
      <c r="H462" s="1">
        <f t="shared" si="30"/>
        <v>4819081.122640905</v>
      </c>
      <c r="I462" s="1">
        <f t="shared" si="30"/>
        <v>5220671.216194314</v>
      </c>
      <c r="J462" s="1">
        <f t="shared" si="31"/>
        <v>5622261.309747722</v>
      </c>
      <c r="K462" s="1">
        <f t="shared" si="31"/>
        <v>6023851.403301131</v>
      </c>
    </row>
    <row r="463" spans="1:11" x14ac:dyDescent="0.25">
      <c r="A463" t="s">
        <v>451</v>
      </c>
      <c r="B463" t="s">
        <v>497</v>
      </c>
      <c r="C463" t="s">
        <v>503</v>
      </c>
      <c r="D463" s="1">
        <v>3300266</v>
      </c>
      <c r="E463" s="1">
        <f t="shared" si="29"/>
        <v>3602345.9671176178</v>
      </c>
      <c r="F463" s="1">
        <f t="shared" si="30"/>
        <v>4116966.8195629916</v>
      </c>
      <c r="G463" s="1">
        <f t="shared" si="30"/>
        <v>4528663.5015192907</v>
      </c>
      <c r="H463" s="1">
        <f t="shared" si="30"/>
        <v>4940360.1834755903</v>
      </c>
      <c r="I463" s="1">
        <f t="shared" si="30"/>
        <v>5352056.865431889</v>
      </c>
      <c r="J463" s="1">
        <f t="shared" si="31"/>
        <v>5763753.5473881876</v>
      </c>
      <c r="K463" s="1">
        <f t="shared" si="31"/>
        <v>6175450.2293444872</v>
      </c>
    </row>
    <row r="464" spans="1:11" x14ac:dyDescent="0.25">
      <c r="A464" t="s">
        <v>451</v>
      </c>
      <c r="B464" t="s">
        <v>497</v>
      </c>
      <c r="C464" t="s">
        <v>504</v>
      </c>
      <c r="D464" s="1">
        <v>4479755</v>
      </c>
      <c r="E464" s="1">
        <f t="shared" si="29"/>
        <v>4889795.9612725107</v>
      </c>
      <c r="F464" s="1">
        <f t="shared" si="30"/>
        <v>5588338.2414542977</v>
      </c>
      <c r="G464" s="1">
        <f t="shared" si="30"/>
        <v>6147172.0655997274</v>
      </c>
      <c r="H464" s="1">
        <f t="shared" si="30"/>
        <v>6706005.8897451572</v>
      </c>
      <c r="I464" s="1">
        <f t="shared" si="30"/>
        <v>7264839.713890587</v>
      </c>
      <c r="J464" s="1">
        <f t="shared" si="31"/>
        <v>7823673.5380360167</v>
      </c>
      <c r="K464" s="1">
        <f t="shared" si="31"/>
        <v>8382507.3621814465</v>
      </c>
    </row>
    <row r="465" spans="1:11" x14ac:dyDescent="0.25">
      <c r="A465" t="s">
        <v>451</v>
      </c>
      <c r="B465" t="s">
        <v>497</v>
      </c>
      <c r="C465" t="s">
        <v>505</v>
      </c>
      <c r="D465" s="1">
        <v>2734958</v>
      </c>
      <c r="E465" s="1">
        <f t="shared" si="29"/>
        <v>2985294.1919033392</v>
      </c>
      <c r="F465" s="1">
        <f t="shared" si="30"/>
        <v>3411764.7907466735</v>
      </c>
      <c r="G465" s="1">
        <f t="shared" si="30"/>
        <v>3752941.2698213402</v>
      </c>
      <c r="H465" s="1">
        <f t="shared" si="30"/>
        <v>4094117.7488960079</v>
      </c>
      <c r="I465" s="1">
        <f t="shared" si="30"/>
        <v>4435294.2279706756</v>
      </c>
      <c r="J465" s="1">
        <f t="shared" si="31"/>
        <v>4776470.7070453428</v>
      </c>
      <c r="K465" s="1">
        <f t="shared" si="31"/>
        <v>5117647.18612001</v>
      </c>
    </row>
    <row r="466" spans="1:11" x14ac:dyDescent="0.25">
      <c r="A466" t="s">
        <v>451</v>
      </c>
      <c r="B466" t="s">
        <v>497</v>
      </c>
      <c r="C466" t="s">
        <v>506</v>
      </c>
      <c r="D466" s="1">
        <v>3067333</v>
      </c>
      <c r="E466" s="1">
        <f t="shared" si="29"/>
        <v>3348092.142377852</v>
      </c>
      <c r="F466" s="1">
        <f t="shared" si="30"/>
        <v>3826391.0198604022</v>
      </c>
      <c r="G466" s="1">
        <f t="shared" si="30"/>
        <v>4209030.1218464421</v>
      </c>
      <c r="H466" s="1">
        <f t="shared" si="30"/>
        <v>4591669.2238324825</v>
      </c>
      <c r="I466" s="1">
        <f t="shared" si="30"/>
        <v>4974308.3258185228</v>
      </c>
      <c r="J466" s="1">
        <f t="shared" si="31"/>
        <v>5356947.4278045623</v>
      </c>
      <c r="K466" s="1">
        <f t="shared" si="31"/>
        <v>5739586.5297906036</v>
      </c>
    </row>
    <row r="467" spans="1:11" x14ac:dyDescent="0.25">
      <c r="A467" t="s">
        <v>451</v>
      </c>
      <c r="B467" t="s">
        <v>497</v>
      </c>
      <c r="C467" t="s">
        <v>507</v>
      </c>
      <c r="D467" s="1">
        <v>2461320</v>
      </c>
      <c r="E467" s="1">
        <f t="shared" si="29"/>
        <v>2686609.5568617606</v>
      </c>
      <c r="F467" s="1">
        <f t="shared" si="30"/>
        <v>3070410.9221277265</v>
      </c>
      <c r="G467" s="1">
        <f t="shared" si="30"/>
        <v>3377452.0143404985</v>
      </c>
      <c r="H467" s="1">
        <f t="shared" si="30"/>
        <v>3684493.1065532714</v>
      </c>
      <c r="I467" s="1">
        <f t="shared" si="30"/>
        <v>3991534.1987660443</v>
      </c>
      <c r="J467" s="1">
        <f t="shared" si="31"/>
        <v>4298575.2909788163</v>
      </c>
      <c r="K467" s="1">
        <f t="shared" si="31"/>
        <v>4605616.3831915893</v>
      </c>
    </row>
    <row r="468" spans="1:11" x14ac:dyDescent="0.25">
      <c r="A468" t="s">
        <v>451</v>
      </c>
      <c r="B468" t="s">
        <v>497</v>
      </c>
      <c r="C468" t="s">
        <v>508</v>
      </c>
      <c r="D468" s="1">
        <v>1783636</v>
      </c>
      <c r="E468" s="1">
        <f t="shared" si="29"/>
        <v>1946895.7809478992</v>
      </c>
      <c r="F468" s="1">
        <f t="shared" si="30"/>
        <v>2225023.749654742</v>
      </c>
      <c r="G468" s="1">
        <f t="shared" si="30"/>
        <v>2447526.124620216</v>
      </c>
      <c r="H468" s="1">
        <f t="shared" si="30"/>
        <v>2670028.49958569</v>
      </c>
      <c r="I468" s="1">
        <f t="shared" si="30"/>
        <v>2892530.8745511645</v>
      </c>
      <c r="J468" s="1">
        <f t="shared" si="31"/>
        <v>3115033.2495166385</v>
      </c>
      <c r="K468" s="1">
        <f t="shared" si="31"/>
        <v>3337535.6244821125</v>
      </c>
    </row>
    <row r="469" spans="1:11" x14ac:dyDescent="0.25">
      <c r="A469" t="s">
        <v>451</v>
      </c>
      <c r="B469" t="s">
        <v>497</v>
      </c>
      <c r="C469" t="s">
        <v>509</v>
      </c>
      <c r="D469" s="1">
        <v>5412888</v>
      </c>
      <c r="E469" s="1">
        <f t="shared" si="29"/>
        <v>5908340.4965718975</v>
      </c>
      <c r="F469" s="1">
        <f t="shared" si="30"/>
        <v>6752389.1389393108</v>
      </c>
      <c r="G469" s="1">
        <f t="shared" si="30"/>
        <v>7427628.0528332414</v>
      </c>
      <c r="H469" s="1">
        <f t="shared" si="30"/>
        <v>8102866.966727173</v>
      </c>
      <c r="I469" s="1">
        <f t="shared" si="30"/>
        <v>8778105.8806211036</v>
      </c>
      <c r="J469" s="1">
        <f t="shared" si="31"/>
        <v>9453344.7945150342</v>
      </c>
      <c r="K469" s="1">
        <f t="shared" si="31"/>
        <v>10128583.708408967</v>
      </c>
    </row>
    <row r="470" spans="1:11" x14ac:dyDescent="0.25">
      <c r="A470" t="s">
        <v>451</v>
      </c>
      <c r="B470" t="s">
        <v>497</v>
      </c>
      <c r="C470" t="s">
        <v>510</v>
      </c>
      <c r="D470" s="1">
        <v>2990905</v>
      </c>
      <c r="E470" s="1">
        <f t="shared" si="29"/>
        <v>3264668.5342278224</v>
      </c>
      <c r="F470" s="1">
        <f t="shared" si="30"/>
        <v>3731049.7534032259</v>
      </c>
      <c r="G470" s="1">
        <f t="shared" si="30"/>
        <v>4104154.728743548</v>
      </c>
      <c r="H470" s="1">
        <f t="shared" si="30"/>
        <v>4477259.7040838702</v>
      </c>
      <c r="I470" s="1">
        <f t="shared" si="30"/>
        <v>4850364.6794241937</v>
      </c>
      <c r="J470" s="1">
        <f t="shared" si="31"/>
        <v>5223469.6547645153</v>
      </c>
      <c r="K470" s="1">
        <f t="shared" si="31"/>
        <v>5596574.6301048379</v>
      </c>
    </row>
    <row r="471" spans="1:11" x14ac:dyDescent="0.25">
      <c r="A471" t="s">
        <v>451</v>
      </c>
      <c r="B471" t="s">
        <v>497</v>
      </c>
      <c r="C471" t="s">
        <v>511</v>
      </c>
      <c r="D471" s="1">
        <v>1700001</v>
      </c>
      <c r="E471" s="1">
        <f t="shared" si="29"/>
        <v>1855605.5016310557</v>
      </c>
      <c r="F471" s="1">
        <f t="shared" si="30"/>
        <v>2120692.0018640636</v>
      </c>
      <c r="G471" s="1">
        <f t="shared" si="30"/>
        <v>2332761.2020504698</v>
      </c>
      <c r="H471" s="1">
        <f t="shared" si="30"/>
        <v>2544830.4022368761</v>
      </c>
      <c r="I471" s="1">
        <f t="shared" si="30"/>
        <v>2756899.6024232828</v>
      </c>
      <c r="J471" s="1">
        <f t="shared" si="31"/>
        <v>2968968.8026096886</v>
      </c>
      <c r="K471" s="1">
        <f t="shared" si="31"/>
        <v>3181038.0027960953</v>
      </c>
    </row>
    <row r="472" spans="1:11" x14ac:dyDescent="0.25">
      <c r="A472" t="s">
        <v>451</v>
      </c>
      <c r="B472" t="s">
        <v>512</v>
      </c>
      <c r="C472" t="s">
        <v>513</v>
      </c>
      <c r="D472" s="1">
        <v>2938079</v>
      </c>
      <c r="E472" s="1">
        <f t="shared" si="29"/>
        <v>3207007.2644820036</v>
      </c>
      <c r="F472" s="1">
        <f t="shared" si="30"/>
        <v>3665151.159408004</v>
      </c>
      <c r="G472" s="1">
        <f t="shared" si="30"/>
        <v>4031666.275348804</v>
      </c>
      <c r="H472" s="1">
        <f t="shared" si="30"/>
        <v>4398181.3912896048</v>
      </c>
      <c r="I472" s="1">
        <f t="shared" si="30"/>
        <v>4764696.5072304048</v>
      </c>
      <c r="J472" s="1">
        <f t="shared" si="31"/>
        <v>5131211.6231712047</v>
      </c>
      <c r="K472" s="1">
        <f t="shared" si="31"/>
        <v>5497726.7391120056</v>
      </c>
    </row>
    <row r="473" spans="1:11" x14ac:dyDescent="0.25">
      <c r="A473" t="s">
        <v>451</v>
      </c>
      <c r="B473" t="s">
        <v>512</v>
      </c>
      <c r="C473" t="s">
        <v>514</v>
      </c>
      <c r="D473" s="1">
        <v>4803275</v>
      </c>
      <c r="E473" s="1">
        <f t="shared" si="29"/>
        <v>5242928.3958344199</v>
      </c>
      <c r="F473" s="1">
        <f t="shared" si="30"/>
        <v>5991918.1666679075</v>
      </c>
      <c r="G473" s="1">
        <f t="shared" si="30"/>
        <v>6591109.9833346978</v>
      </c>
      <c r="H473" s="1">
        <f t="shared" si="30"/>
        <v>7190301.800001489</v>
      </c>
      <c r="I473" s="1">
        <f t="shared" si="30"/>
        <v>7789493.6166682802</v>
      </c>
      <c r="J473" s="1">
        <f t="shared" si="31"/>
        <v>8388685.4333350696</v>
      </c>
      <c r="K473" s="1">
        <f t="shared" si="31"/>
        <v>8987877.2500018608</v>
      </c>
    </row>
    <row r="474" spans="1:11" x14ac:dyDescent="0.25">
      <c r="A474" t="s">
        <v>451</v>
      </c>
      <c r="B474" t="s">
        <v>512</v>
      </c>
      <c r="C474" t="s">
        <v>515</v>
      </c>
      <c r="D474" s="1">
        <v>5634416</v>
      </c>
      <c r="E474" s="1">
        <f t="shared" si="29"/>
        <v>6150145.3987839101</v>
      </c>
      <c r="F474" s="1">
        <f t="shared" si="30"/>
        <v>7028737.5986101832</v>
      </c>
      <c r="G474" s="1">
        <f t="shared" si="30"/>
        <v>7731611.3584712008</v>
      </c>
      <c r="H474" s="1">
        <f t="shared" si="30"/>
        <v>8434485.1183322184</v>
      </c>
      <c r="I474" s="1">
        <f t="shared" si="30"/>
        <v>9137358.8781932369</v>
      </c>
      <c r="J474" s="1">
        <f t="shared" si="31"/>
        <v>9840232.6380542554</v>
      </c>
      <c r="K474" s="1">
        <f t="shared" si="31"/>
        <v>10543106.397915274</v>
      </c>
    </row>
    <row r="475" spans="1:11" x14ac:dyDescent="0.25">
      <c r="A475" t="s">
        <v>451</v>
      </c>
      <c r="B475" t="s">
        <v>512</v>
      </c>
      <c r="C475" t="s">
        <v>516</v>
      </c>
      <c r="D475" s="1">
        <v>2206633</v>
      </c>
      <c r="E475" s="1">
        <f t="shared" si="29"/>
        <v>2408610.5448647626</v>
      </c>
      <c r="F475" s="1">
        <f t="shared" si="30"/>
        <v>2752697.7655597287</v>
      </c>
      <c r="G475" s="1">
        <f t="shared" si="30"/>
        <v>3027967.5421157014</v>
      </c>
      <c r="H475" s="1">
        <f t="shared" si="30"/>
        <v>3303237.318671674</v>
      </c>
      <c r="I475" s="1">
        <f t="shared" si="30"/>
        <v>3578507.0952276471</v>
      </c>
      <c r="J475" s="1">
        <f t="shared" si="31"/>
        <v>3853776.8717836197</v>
      </c>
      <c r="K475" s="1">
        <f t="shared" si="31"/>
        <v>4129046.6483395929</v>
      </c>
    </row>
    <row r="476" spans="1:11" x14ac:dyDescent="0.25">
      <c r="A476" t="s">
        <v>451</v>
      </c>
      <c r="B476" t="s">
        <v>512</v>
      </c>
      <c r="C476" t="s">
        <v>517</v>
      </c>
      <c r="D476" s="1">
        <v>2994677</v>
      </c>
      <c r="E476" s="1">
        <f t="shared" si="29"/>
        <v>3268785.7929542307</v>
      </c>
      <c r="F476" s="1">
        <f t="shared" si="30"/>
        <v>3735755.1919476921</v>
      </c>
      <c r="G476" s="1">
        <f t="shared" si="30"/>
        <v>4109330.7111424608</v>
      </c>
      <c r="H476" s="1">
        <f t="shared" si="30"/>
        <v>4482906.2303372305</v>
      </c>
      <c r="I476" s="1">
        <f t="shared" si="30"/>
        <v>4856481.7495319992</v>
      </c>
      <c r="J476" s="1">
        <f t="shared" si="31"/>
        <v>5230057.268726768</v>
      </c>
      <c r="K476" s="1">
        <f t="shared" si="31"/>
        <v>5603632.7879215376</v>
      </c>
    </row>
    <row r="477" spans="1:11" x14ac:dyDescent="0.25">
      <c r="A477" t="s">
        <v>451</v>
      </c>
      <c r="B477" t="s">
        <v>512</v>
      </c>
      <c r="C477" t="s">
        <v>518</v>
      </c>
      <c r="D477" s="1">
        <v>3298455</v>
      </c>
      <c r="E477" s="1">
        <f t="shared" si="29"/>
        <v>3600369.2026548595</v>
      </c>
      <c r="F477" s="1">
        <f t="shared" si="30"/>
        <v>4114707.6601769822</v>
      </c>
      <c r="G477" s="1">
        <f t="shared" si="30"/>
        <v>4526178.4261946799</v>
      </c>
      <c r="H477" s="1">
        <f t="shared" si="30"/>
        <v>4937649.1922123786</v>
      </c>
      <c r="I477" s="1">
        <f t="shared" si="30"/>
        <v>5349119.9582300764</v>
      </c>
      <c r="J477" s="1">
        <f t="shared" si="31"/>
        <v>5760590.7242477741</v>
      </c>
      <c r="K477" s="1">
        <f t="shared" si="31"/>
        <v>6172061.4902654728</v>
      </c>
    </row>
    <row r="478" spans="1:11" x14ac:dyDescent="0.25">
      <c r="A478" t="s">
        <v>451</v>
      </c>
      <c r="B478" t="s">
        <v>512</v>
      </c>
      <c r="C478" t="s">
        <v>519</v>
      </c>
      <c r="D478" s="1">
        <v>1734325</v>
      </c>
      <c r="E478" s="1">
        <f t="shared" si="29"/>
        <v>1893071.2462029615</v>
      </c>
      <c r="F478" s="1">
        <f t="shared" si="30"/>
        <v>2163509.9956605271</v>
      </c>
      <c r="G478" s="1">
        <f t="shared" si="30"/>
        <v>2379860.9952265797</v>
      </c>
      <c r="H478" s="1">
        <f t="shared" si="30"/>
        <v>2596211.9947926328</v>
      </c>
      <c r="I478" s="1">
        <f t="shared" si="30"/>
        <v>2812562.9943586853</v>
      </c>
      <c r="J478" s="1">
        <f t="shared" si="31"/>
        <v>3028913.9939247379</v>
      </c>
      <c r="K478" s="1">
        <f t="shared" si="31"/>
        <v>3245264.9934907909</v>
      </c>
    </row>
    <row r="479" spans="1:11" x14ac:dyDescent="0.25">
      <c r="A479" t="s">
        <v>451</v>
      </c>
      <c r="B479" t="s">
        <v>512</v>
      </c>
      <c r="C479" t="s">
        <v>520</v>
      </c>
      <c r="D479" s="1">
        <v>3452852</v>
      </c>
      <c r="E479" s="1">
        <f t="shared" si="29"/>
        <v>3768898.469776073</v>
      </c>
      <c r="F479" s="1">
        <f t="shared" si="30"/>
        <v>4307312.5368869407</v>
      </c>
      <c r="G479" s="1">
        <f t="shared" si="30"/>
        <v>4738043.7905756338</v>
      </c>
      <c r="H479" s="1">
        <f t="shared" si="30"/>
        <v>5168775.0442643287</v>
      </c>
      <c r="I479" s="1">
        <f t="shared" si="30"/>
        <v>5599506.2979530226</v>
      </c>
      <c r="J479" s="1">
        <f t="shared" si="31"/>
        <v>6030237.5516417157</v>
      </c>
      <c r="K479" s="1">
        <f t="shared" si="31"/>
        <v>6460968.8053304106</v>
      </c>
    </row>
    <row r="480" spans="1:11" x14ac:dyDescent="0.25">
      <c r="A480" t="s">
        <v>451</v>
      </c>
      <c r="B480" t="s">
        <v>512</v>
      </c>
      <c r="C480" t="s">
        <v>521</v>
      </c>
      <c r="D480" s="1">
        <v>6488789</v>
      </c>
      <c r="E480" s="1">
        <f t="shared" si="29"/>
        <v>7082720.8732954133</v>
      </c>
      <c r="F480" s="1">
        <f t="shared" si="30"/>
        <v>8094538.1409090441</v>
      </c>
      <c r="G480" s="1">
        <f t="shared" si="30"/>
        <v>8903991.9549999479</v>
      </c>
      <c r="H480" s="1">
        <f t="shared" si="30"/>
        <v>9713445.7690908518</v>
      </c>
      <c r="I480" s="1">
        <f t="shared" si="30"/>
        <v>10522899.583181757</v>
      </c>
      <c r="J480" s="1">
        <f t="shared" si="31"/>
        <v>11332353.397272659</v>
      </c>
      <c r="K480" s="1">
        <f t="shared" si="31"/>
        <v>12141807.211363565</v>
      </c>
    </row>
    <row r="481" spans="1:11" x14ac:dyDescent="0.25">
      <c r="A481" t="s">
        <v>451</v>
      </c>
      <c r="B481" t="s">
        <v>512</v>
      </c>
      <c r="C481" t="s">
        <v>522</v>
      </c>
      <c r="D481" s="1">
        <v>4484989</v>
      </c>
      <c r="E481" s="1">
        <f t="shared" si="29"/>
        <v>4895509.0397916045</v>
      </c>
      <c r="F481" s="1">
        <f t="shared" si="30"/>
        <v>5594867.4740475472</v>
      </c>
      <c r="G481" s="1">
        <f t="shared" si="30"/>
        <v>6154354.2214523014</v>
      </c>
      <c r="H481" s="1">
        <f t="shared" si="30"/>
        <v>6713840.9688570565</v>
      </c>
      <c r="I481" s="1">
        <f t="shared" si="30"/>
        <v>7273327.7162618116</v>
      </c>
      <c r="J481" s="1">
        <f t="shared" si="31"/>
        <v>7832814.4636665657</v>
      </c>
      <c r="K481" s="1">
        <f t="shared" si="31"/>
        <v>8392301.2110713199</v>
      </c>
    </row>
    <row r="482" spans="1:11" x14ac:dyDescent="0.25">
      <c r="A482" t="s">
        <v>451</v>
      </c>
      <c r="B482" t="s">
        <v>512</v>
      </c>
      <c r="C482" t="s">
        <v>523</v>
      </c>
      <c r="D482" s="1">
        <v>3430654</v>
      </c>
      <c r="E482" s="1">
        <f t="shared" si="29"/>
        <v>3744668.642308203</v>
      </c>
      <c r="F482" s="1">
        <f t="shared" si="30"/>
        <v>4279621.3054950889</v>
      </c>
      <c r="G482" s="1">
        <f t="shared" si="30"/>
        <v>4707583.436044598</v>
      </c>
      <c r="H482" s="1">
        <f t="shared" si="30"/>
        <v>5135545.5665941071</v>
      </c>
      <c r="I482" s="1">
        <f t="shared" si="30"/>
        <v>5563507.6971436162</v>
      </c>
      <c r="J482" s="1">
        <f t="shared" si="31"/>
        <v>5991469.8276931243</v>
      </c>
      <c r="K482" s="1">
        <f t="shared" si="31"/>
        <v>6419431.9582426334</v>
      </c>
    </row>
    <row r="483" spans="1:11" x14ac:dyDescent="0.25">
      <c r="A483" t="s">
        <v>451</v>
      </c>
      <c r="B483" t="s">
        <v>512</v>
      </c>
      <c r="C483" t="s">
        <v>524</v>
      </c>
      <c r="D483" s="1">
        <v>1709368</v>
      </c>
      <c r="E483" s="1">
        <f t="shared" si="29"/>
        <v>1865829.8819307014</v>
      </c>
      <c r="F483" s="1">
        <f t="shared" si="30"/>
        <v>2132377.0079208016</v>
      </c>
      <c r="G483" s="1">
        <f t="shared" si="30"/>
        <v>2345614.7087128814</v>
      </c>
      <c r="H483" s="1">
        <f t="shared" si="30"/>
        <v>2558852.4095049617</v>
      </c>
      <c r="I483" s="1">
        <f t="shared" si="30"/>
        <v>2772090.1102970419</v>
      </c>
      <c r="J483" s="1">
        <f t="shared" si="31"/>
        <v>2985327.8110891217</v>
      </c>
      <c r="K483" s="1">
        <f t="shared" si="31"/>
        <v>3198565.511881202</v>
      </c>
    </row>
    <row r="484" spans="1:11" x14ac:dyDescent="0.25">
      <c r="A484" t="s">
        <v>451</v>
      </c>
      <c r="B484" t="s">
        <v>512</v>
      </c>
      <c r="C484" t="s">
        <v>525</v>
      </c>
      <c r="D484" s="1">
        <v>6466796</v>
      </c>
      <c r="E484" s="1">
        <f t="shared" si="29"/>
        <v>7058714.8098887615</v>
      </c>
      <c r="F484" s="1">
        <f t="shared" si="30"/>
        <v>8067102.6398728704</v>
      </c>
      <c r="G484" s="1">
        <f t="shared" si="30"/>
        <v>8873812.9038601555</v>
      </c>
      <c r="H484" s="1">
        <f t="shared" si="30"/>
        <v>9680523.1678474434</v>
      </c>
      <c r="I484" s="1">
        <f t="shared" si="30"/>
        <v>10487233.431834731</v>
      </c>
      <c r="J484" s="1">
        <f t="shared" si="31"/>
        <v>11293943.695822017</v>
      </c>
      <c r="K484" s="1">
        <f t="shared" si="31"/>
        <v>12100653.959809305</v>
      </c>
    </row>
    <row r="485" spans="1:11" x14ac:dyDescent="0.25">
      <c r="A485" t="s">
        <v>451</v>
      </c>
      <c r="B485" t="s">
        <v>512</v>
      </c>
      <c r="C485" t="s">
        <v>526</v>
      </c>
      <c r="D485" s="1">
        <v>4227898</v>
      </c>
      <c r="E485" s="1">
        <f t="shared" si="29"/>
        <v>4614885.9848523252</v>
      </c>
      <c r="F485" s="1">
        <f t="shared" si="30"/>
        <v>5274155.4112597993</v>
      </c>
      <c r="G485" s="1">
        <f t="shared" si="30"/>
        <v>5801570.9523857785</v>
      </c>
      <c r="H485" s="1">
        <f t="shared" si="30"/>
        <v>6328986.4935117597</v>
      </c>
      <c r="I485" s="1">
        <f t="shared" si="30"/>
        <v>6856402.0346377399</v>
      </c>
      <c r="J485" s="1">
        <f t="shared" si="31"/>
        <v>7383817.5757637192</v>
      </c>
      <c r="K485" s="1">
        <f t="shared" si="31"/>
        <v>7911233.1168896994</v>
      </c>
    </row>
    <row r="486" spans="1:11" x14ac:dyDescent="0.25">
      <c r="A486" t="s">
        <v>451</v>
      </c>
      <c r="B486" t="s">
        <v>512</v>
      </c>
      <c r="C486" t="s">
        <v>527</v>
      </c>
      <c r="D486" s="1">
        <v>2716985</v>
      </c>
      <c r="E486" s="1">
        <f t="shared" si="29"/>
        <v>2965676.0871605687</v>
      </c>
      <c r="F486" s="1">
        <f t="shared" si="30"/>
        <v>3389344.0996120782</v>
      </c>
      <c r="G486" s="1">
        <f t="shared" si="30"/>
        <v>3728278.5095732859</v>
      </c>
      <c r="H486" s="1">
        <f t="shared" si="30"/>
        <v>4067212.9195344937</v>
      </c>
      <c r="I486" s="1">
        <f t="shared" si="30"/>
        <v>4406147.3294957019</v>
      </c>
      <c r="J486" s="1">
        <f t="shared" si="31"/>
        <v>4745081.7394569088</v>
      </c>
      <c r="K486" s="1">
        <f t="shared" si="31"/>
        <v>5084016.1494181175</v>
      </c>
    </row>
    <row r="487" spans="1:11" x14ac:dyDescent="0.25">
      <c r="A487" t="s">
        <v>528</v>
      </c>
      <c r="B487" t="s">
        <v>529</v>
      </c>
      <c r="C487" t="s">
        <v>530</v>
      </c>
      <c r="D487" s="1">
        <v>3496364</v>
      </c>
      <c r="E487" s="1">
        <f t="shared" si="29"/>
        <v>3816393.210418561</v>
      </c>
      <c r="F487" s="1">
        <f t="shared" si="30"/>
        <v>4361592.2404783554</v>
      </c>
      <c r="G487" s="1">
        <f t="shared" si="30"/>
        <v>4797751.4645261904</v>
      </c>
      <c r="H487" s="1">
        <f t="shared" si="30"/>
        <v>5233910.6885740263</v>
      </c>
      <c r="I487" s="1">
        <f t="shared" si="30"/>
        <v>5670069.9126218623</v>
      </c>
      <c r="J487" s="1">
        <f t="shared" si="31"/>
        <v>6106229.1366696972</v>
      </c>
      <c r="K487" s="1">
        <f t="shared" si="31"/>
        <v>6542388.3607175332</v>
      </c>
    </row>
    <row r="488" spans="1:11" x14ac:dyDescent="0.25">
      <c r="A488" t="s">
        <v>528</v>
      </c>
      <c r="B488" t="s">
        <v>529</v>
      </c>
      <c r="C488" t="s">
        <v>531</v>
      </c>
      <c r="D488" s="1">
        <v>3351860</v>
      </c>
      <c r="E488" s="1">
        <f t="shared" si="29"/>
        <v>3658662.4694321183</v>
      </c>
      <c r="F488" s="1">
        <f t="shared" si="30"/>
        <v>4181328.536493849</v>
      </c>
      <c r="G488" s="1">
        <f t="shared" si="30"/>
        <v>4599461.3901432334</v>
      </c>
      <c r="H488" s="1">
        <f t="shared" si="30"/>
        <v>5017594.2437926186</v>
      </c>
      <c r="I488" s="1">
        <f t="shared" si="30"/>
        <v>5435727.0974420039</v>
      </c>
      <c r="J488" s="1">
        <f t="shared" si="31"/>
        <v>5853859.9510913882</v>
      </c>
      <c r="K488" s="1">
        <f t="shared" si="31"/>
        <v>6271992.8047407735</v>
      </c>
    </row>
    <row r="489" spans="1:11" x14ac:dyDescent="0.25">
      <c r="A489" t="s">
        <v>528</v>
      </c>
      <c r="B489" t="s">
        <v>529</v>
      </c>
      <c r="C489" t="s">
        <v>532</v>
      </c>
      <c r="D489" s="1">
        <v>5051259</v>
      </c>
      <c r="E489" s="1">
        <f t="shared" si="29"/>
        <v>5513610.8687955979</v>
      </c>
      <c r="F489" s="1">
        <f t="shared" si="30"/>
        <v>6301269.5643378254</v>
      </c>
      <c r="G489" s="1">
        <f t="shared" si="30"/>
        <v>6931396.5207716078</v>
      </c>
      <c r="H489" s="1">
        <f t="shared" si="30"/>
        <v>7561523.4772053901</v>
      </c>
      <c r="I489" s="1">
        <f t="shared" si="30"/>
        <v>8191650.4336391734</v>
      </c>
      <c r="J489" s="1">
        <f t="shared" si="31"/>
        <v>8821777.3900729548</v>
      </c>
      <c r="K489" s="1">
        <f t="shared" si="31"/>
        <v>9451904.3465067372</v>
      </c>
    </row>
    <row r="490" spans="1:11" x14ac:dyDescent="0.25">
      <c r="A490" t="s">
        <v>528</v>
      </c>
      <c r="B490" t="s">
        <v>529</v>
      </c>
      <c r="C490" t="s">
        <v>533</v>
      </c>
      <c r="D490" s="1">
        <v>8752564</v>
      </c>
      <c r="E490" s="1">
        <f t="shared" si="29"/>
        <v>9553703.7400436345</v>
      </c>
      <c r="F490" s="1">
        <f t="shared" si="30"/>
        <v>10918518.560049867</v>
      </c>
      <c r="G490" s="1">
        <f t="shared" si="30"/>
        <v>12010370.416054854</v>
      </c>
      <c r="H490" s="1">
        <f t="shared" si="30"/>
        <v>13102222.272059841</v>
      </c>
      <c r="I490" s="1">
        <f t="shared" si="30"/>
        <v>14194074.128064828</v>
      </c>
      <c r="J490" s="1">
        <f t="shared" si="31"/>
        <v>15285925.984069813</v>
      </c>
      <c r="K490" s="1">
        <f t="shared" si="31"/>
        <v>16377777.840074802</v>
      </c>
    </row>
    <row r="491" spans="1:11" x14ac:dyDescent="0.25">
      <c r="A491" t="s">
        <v>528</v>
      </c>
      <c r="B491" t="s">
        <v>529</v>
      </c>
      <c r="C491" t="s">
        <v>534</v>
      </c>
      <c r="D491" s="1">
        <v>2176617</v>
      </c>
      <c r="E491" s="1">
        <f t="shared" si="29"/>
        <v>2375847.1201744489</v>
      </c>
      <c r="F491" s="1">
        <f t="shared" si="30"/>
        <v>2715253.8516279417</v>
      </c>
      <c r="G491" s="1">
        <f t="shared" si="30"/>
        <v>2986779.2367907357</v>
      </c>
      <c r="H491" s="1">
        <f t="shared" si="30"/>
        <v>3258304.6219535298</v>
      </c>
      <c r="I491" s="1">
        <f t="shared" si="30"/>
        <v>3529830.0071163243</v>
      </c>
      <c r="J491" s="1">
        <f t="shared" si="31"/>
        <v>3801355.3922791178</v>
      </c>
      <c r="K491" s="1">
        <f t="shared" si="31"/>
        <v>4072880.7774419123</v>
      </c>
    </row>
    <row r="492" spans="1:11" x14ac:dyDescent="0.25">
      <c r="A492" t="s">
        <v>528</v>
      </c>
      <c r="B492" t="s">
        <v>529</v>
      </c>
      <c r="C492" t="s">
        <v>535</v>
      </c>
      <c r="D492" s="1">
        <v>4993265</v>
      </c>
      <c r="E492" s="1">
        <f t="shared" si="29"/>
        <v>5450308.5616430771</v>
      </c>
      <c r="F492" s="1">
        <f t="shared" si="30"/>
        <v>6228924.0704492312</v>
      </c>
      <c r="G492" s="1">
        <f t="shared" si="30"/>
        <v>6851816.4774941532</v>
      </c>
      <c r="H492" s="1">
        <f t="shared" si="30"/>
        <v>7474708.8845390771</v>
      </c>
      <c r="I492" s="1">
        <f t="shared" si="30"/>
        <v>8097601.291584</v>
      </c>
      <c r="J492" s="1">
        <f t="shared" si="31"/>
        <v>8720493.6986289229</v>
      </c>
      <c r="K492" s="1">
        <f t="shared" si="31"/>
        <v>9343386.1056738459</v>
      </c>
    </row>
    <row r="493" spans="1:11" x14ac:dyDescent="0.25">
      <c r="A493" t="s">
        <v>528</v>
      </c>
      <c r="B493" t="s">
        <v>529</v>
      </c>
      <c r="C493" t="s">
        <v>536</v>
      </c>
      <c r="D493" s="1">
        <v>3615286</v>
      </c>
      <c r="E493" s="1">
        <f t="shared" si="29"/>
        <v>3946200.3796290313</v>
      </c>
      <c r="F493" s="1">
        <f t="shared" si="30"/>
        <v>4509943.2910046075</v>
      </c>
      <c r="G493" s="1">
        <f t="shared" si="30"/>
        <v>4960937.6201050673</v>
      </c>
      <c r="H493" s="1">
        <f t="shared" si="30"/>
        <v>5411931.949205528</v>
      </c>
      <c r="I493" s="1">
        <f t="shared" si="30"/>
        <v>5862926.2783059888</v>
      </c>
      <c r="J493" s="1">
        <f t="shared" si="31"/>
        <v>6313920.6074064495</v>
      </c>
      <c r="K493" s="1">
        <f t="shared" si="31"/>
        <v>6764914.9365069102</v>
      </c>
    </row>
    <row r="494" spans="1:11" x14ac:dyDescent="0.25">
      <c r="A494" t="s">
        <v>528</v>
      </c>
      <c r="B494" t="s">
        <v>529</v>
      </c>
      <c r="C494" t="s">
        <v>537</v>
      </c>
      <c r="D494" s="1">
        <v>4987731</v>
      </c>
      <c r="E494" s="1">
        <f t="shared" si="29"/>
        <v>5444268.0235222019</v>
      </c>
      <c r="F494" s="1">
        <f t="shared" si="30"/>
        <v>6222020.598311088</v>
      </c>
      <c r="G494" s="1">
        <f t="shared" si="30"/>
        <v>6844222.658142196</v>
      </c>
      <c r="H494" s="1">
        <f t="shared" si="30"/>
        <v>7466424.7179733049</v>
      </c>
      <c r="I494" s="1">
        <f t="shared" si="30"/>
        <v>8088626.7778044138</v>
      </c>
      <c r="J494" s="1">
        <f t="shared" si="31"/>
        <v>8710828.8376355227</v>
      </c>
      <c r="K494" s="1">
        <f t="shared" si="31"/>
        <v>9333030.8974666316</v>
      </c>
    </row>
    <row r="495" spans="1:11" x14ac:dyDescent="0.25">
      <c r="A495" t="s">
        <v>528</v>
      </c>
      <c r="B495" t="s">
        <v>529</v>
      </c>
      <c r="C495" t="s">
        <v>538</v>
      </c>
      <c r="D495" s="1">
        <v>2086927</v>
      </c>
      <c r="E495" s="1">
        <f t="shared" si="29"/>
        <v>2277947.6145616351</v>
      </c>
      <c r="F495" s="1">
        <f t="shared" si="30"/>
        <v>2603368.7023561541</v>
      </c>
      <c r="G495" s="1">
        <f t="shared" si="30"/>
        <v>2863705.5725917695</v>
      </c>
      <c r="H495" s="1">
        <f t="shared" si="30"/>
        <v>3124042.4428273849</v>
      </c>
      <c r="I495" s="1">
        <f t="shared" si="30"/>
        <v>3384379.3130630003</v>
      </c>
      <c r="J495" s="1">
        <f t="shared" si="31"/>
        <v>3644716.1832986157</v>
      </c>
      <c r="K495" s="1">
        <f t="shared" si="31"/>
        <v>3905053.0535342311</v>
      </c>
    </row>
    <row r="496" spans="1:11" x14ac:dyDescent="0.25">
      <c r="A496" t="s">
        <v>528</v>
      </c>
      <c r="B496" t="s">
        <v>529</v>
      </c>
      <c r="C496" t="s">
        <v>539</v>
      </c>
      <c r="D496" s="1">
        <v>3794568</v>
      </c>
      <c r="E496" s="1">
        <f t="shared" si="29"/>
        <v>4141892.4207180771</v>
      </c>
      <c r="F496" s="1">
        <f t="shared" si="30"/>
        <v>4733591.3379635168</v>
      </c>
      <c r="G496" s="1">
        <f t="shared" si="30"/>
        <v>5206950.4717598679</v>
      </c>
      <c r="H496" s="1">
        <f t="shared" si="30"/>
        <v>5680309.6055562198</v>
      </c>
      <c r="I496" s="1">
        <f t="shared" si="30"/>
        <v>6153668.7393525718</v>
      </c>
      <c r="J496" s="1">
        <f t="shared" si="31"/>
        <v>6627027.8731489228</v>
      </c>
      <c r="K496" s="1">
        <f t="shared" si="31"/>
        <v>7100387.0069452748</v>
      </c>
    </row>
    <row r="497" spans="1:11" x14ac:dyDescent="0.25">
      <c r="A497" t="s">
        <v>528</v>
      </c>
      <c r="B497" t="s">
        <v>529</v>
      </c>
      <c r="C497" t="s">
        <v>540</v>
      </c>
      <c r="D497" s="1">
        <v>4116183</v>
      </c>
      <c r="E497" s="1">
        <f t="shared" si="29"/>
        <v>4492945.4868086688</v>
      </c>
      <c r="F497" s="1">
        <f t="shared" si="30"/>
        <v>5134794.8420670498</v>
      </c>
      <c r="G497" s="1">
        <f t="shared" si="30"/>
        <v>5648274.3262737542</v>
      </c>
      <c r="H497" s="1">
        <f t="shared" si="30"/>
        <v>6161753.8104804596</v>
      </c>
      <c r="I497" s="1">
        <f t="shared" si="30"/>
        <v>6675233.2946871649</v>
      </c>
      <c r="J497" s="1">
        <f t="shared" si="31"/>
        <v>7188712.7788938694</v>
      </c>
      <c r="K497" s="1">
        <f t="shared" si="31"/>
        <v>7702192.2631005747</v>
      </c>
    </row>
    <row r="498" spans="1:11" x14ac:dyDescent="0.25">
      <c r="A498" t="s">
        <v>528</v>
      </c>
      <c r="B498" t="s">
        <v>529</v>
      </c>
      <c r="C498" t="s">
        <v>541</v>
      </c>
      <c r="D498" s="1">
        <v>5996375</v>
      </c>
      <c r="E498" s="1">
        <f t="shared" si="29"/>
        <v>6545235.2321221698</v>
      </c>
      <c r="F498" s="1">
        <f t="shared" si="30"/>
        <v>7480268.8367110519</v>
      </c>
      <c r="G498" s="1">
        <f t="shared" si="30"/>
        <v>8228295.7203821559</v>
      </c>
      <c r="H498" s="1">
        <f t="shared" si="30"/>
        <v>8976322.6040532608</v>
      </c>
      <c r="I498" s="1">
        <f t="shared" si="30"/>
        <v>9724349.4877243675</v>
      </c>
      <c r="J498" s="1">
        <f t="shared" si="31"/>
        <v>10472376.371395471</v>
      </c>
      <c r="K498" s="1">
        <f t="shared" si="31"/>
        <v>11220403.255066577</v>
      </c>
    </row>
    <row r="499" spans="1:11" x14ac:dyDescent="0.25">
      <c r="A499" t="s">
        <v>528</v>
      </c>
      <c r="B499" t="s">
        <v>529</v>
      </c>
      <c r="C499" t="s">
        <v>542</v>
      </c>
      <c r="D499" s="1">
        <v>6701062</v>
      </c>
      <c r="E499" s="1">
        <f t="shared" si="29"/>
        <v>7314423.6467924463</v>
      </c>
      <c r="F499" s="1">
        <f t="shared" si="30"/>
        <v>8359341.3106199382</v>
      </c>
      <c r="G499" s="1">
        <f t="shared" si="30"/>
        <v>9195275.4416819308</v>
      </c>
      <c r="H499" s="1">
        <f t="shared" si="30"/>
        <v>10031209.572743926</v>
      </c>
      <c r="I499" s="1">
        <f t="shared" si="30"/>
        <v>10867143.70380592</v>
      </c>
      <c r="J499" s="1">
        <f t="shared" si="31"/>
        <v>11703077.834867913</v>
      </c>
      <c r="K499" s="1">
        <f t="shared" si="31"/>
        <v>12539011.965929907</v>
      </c>
    </row>
    <row r="500" spans="1:11" x14ac:dyDescent="0.25">
      <c r="A500" t="s">
        <v>528</v>
      </c>
      <c r="B500" t="s">
        <v>529</v>
      </c>
      <c r="C500" t="s">
        <v>543</v>
      </c>
      <c r="D500" s="1">
        <v>3568211</v>
      </c>
      <c r="E500" s="1">
        <f t="shared" si="29"/>
        <v>3894816.5104493769</v>
      </c>
      <c r="F500" s="1">
        <f t="shared" si="30"/>
        <v>4451218.8690850018</v>
      </c>
      <c r="G500" s="1">
        <f t="shared" si="30"/>
        <v>4896340.7559935013</v>
      </c>
      <c r="H500" s="1">
        <f t="shared" si="30"/>
        <v>5341462.6429020017</v>
      </c>
      <c r="I500" s="1">
        <f t="shared" si="30"/>
        <v>5786584.5298105022</v>
      </c>
      <c r="J500" s="1">
        <f t="shared" si="31"/>
        <v>6231706.4167190017</v>
      </c>
      <c r="K500" s="1">
        <f t="shared" si="31"/>
        <v>6676828.3036275022</v>
      </c>
    </row>
    <row r="501" spans="1:11" x14ac:dyDescent="0.25">
      <c r="A501" t="s">
        <v>528</v>
      </c>
      <c r="B501" t="s">
        <v>529</v>
      </c>
      <c r="C501" t="s">
        <v>544</v>
      </c>
      <c r="D501" s="1">
        <v>5273840</v>
      </c>
      <c r="E501" s="1">
        <f t="shared" si="29"/>
        <v>5756565.1542098662</v>
      </c>
      <c r="F501" s="1">
        <f t="shared" si="30"/>
        <v>6578931.6048112754</v>
      </c>
      <c r="G501" s="1">
        <f t="shared" si="30"/>
        <v>7236824.7652924024</v>
      </c>
      <c r="H501" s="1">
        <f t="shared" si="30"/>
        <v>7894717.9257735303</v>
      </c>
      <c r="I501" s="1">
        <f t="shared" si="30"/>
        <v>8552611.0862546582</v>
      </c>
      <c r="J501" s="1">
        <f t="shared" si="31"/>
        <v>9210504.2467357852</v>
      </c>
      <c r="K501" s="1">
        <f t="shared" si="31"/>
        <v>9868397.4072169121</v>
      </c>
    </row>
    <row r="502" spans="1:11" x14ac:dyDescent="0.25">
      <c r="A502" t="s">
        <v>528</v>
      </c>
      <c r="B502" t="s">
        <v>529</v>
      </c>
      <c r="C502" t="s">
        <v>545</v>
      </c>
      <c r="D502" s="1">
        <v>4167464</v>
      </c>
      <c r="E502" s="1">
        <f t="shared" si="29"/>
        <v>4548920.33960531</v>
      </c>
      <c r="F502" s="1">
        <f t="shared" si="30"/>
        <v>5198766.1024060678</v>
      </c>
      <c r="G502" s="1">
        <f t="shared" si="30"/>
        <v>5718642.7126466744</v>
      </c>
      <c r="H502" s="1">
        <f t="shared" si="30"/>
        <v>6238519.322887281</v>
      </c>
      <c r="I502" s="1">
        <f t="shared" si="30"/>
        <v>6758395.9331278885</v>
      </c>
      <c r="J502" s="1">
        <f t="shared" si="31"/>
        <v>7278272.5433684941</v>
      </c>
      <c r="K502" s="1">
        <f t="shared" si="31"/>
        <v>7798149.1536091017</v>
      </c>
    </row>
    <row r="503" spans="1:11" x14ac:dyDescent="0.25">
      <c r="A503" t="s">
        <v>528</v>
      </c>
      <c r="B503" t="s">
        <v>546</v>
      </c>
      <c r="C503" t="s">
        <v>547</v>
      </c>
      <c r="D503" s="1">
        <v>6937039</v>
      </c>
      <c r="E503" s="1">
        <f t="shared" si="29"/>
        <v>7572000.0949582951</v>
      </c>
      <c r="F503" s="1">
        <f t="shared" si="30"/>
        <v>8653714.394238051</v>
      </c>
      <c r="G503" s="1">
        <f t="shared" si="30"/>
        <v>9519085.8336618561</v>
      </c>
      <c r="H503" s="1">
        <f t="shared" si="30"/>
        <v>10384457.273085661</v>
      </c>
      <c r="I503" s="1">
        <f t="shared" si="30"/>
        <v>11249828.712509466</v>
      </c>
      <c r="J503" s="1">
        <f t="shared" si="31"/>
        <v>12115200.151933271</v>
      </c>
      <c r="K503" s="1">
        <f t="shared" si="31"/>
        <v>12980571.591357077</v>
      </c>
    </row>
    <row r="504" spans="1:11" x14ac:dyDescent="0.25">
      <c r="A504" t="s">
        <v>528</v>
      </c>
      <c r="B504" t="s">
        <v>546</v>
      </c>
      <c r="C504" t="s">
        <v>548</v>
      </c>
      <c r="D504" s="1">
        <v>3591404</v>
      </c>
      <c r="E504" s="1">
        <f t="shared" si="29"/>
        <v>3920132.4122631573</v>
      </c>
      <c r="F504" s="1">
        <f t="shared" si="30"/>
        <v>4480151.3283007508</v>
      </c>
      <c r="G504" s="1">
        <f t="shared" si="30"/>
        <v>4928166.4611308258</v>
      </c>
      <c r="H504" s="1">
        <f t="shared" si="30"/>
        <v>5376181.5939609008</v>
      </c>
      <c r="I504" s="1">
        <f t="shared" si="30"/>
        <v>5824196.7267909767</v>
      </c>
      <c r="J504" s="1">
        <f t="shared" si="31"/>
        <v>6272211.8596210508</v>
      </c>
      <c r="K504" s="1">
        <f t="shared" si="31"/>
        <v>6720226.9924511267</v>
      </c>
    </row>
    <row r="505" spans="1:11" x14ac:dyDescent="0.25">
      <c r="A505" t="s">
        <v>528</v>
      </c>
      <c r="B505" t="s">
        <v>546</v>
      </c>
      <c r="C505" t="s">
        <v>549</v>
      </c>
      <c r="D505" s="1">
        <v>9156625</v>
      </c>
      <c r="E505" s="1">
        <f t="shared" si="29"/>
        <v>9994749.2538960073</v>
      </c>
      <c r="F505" s="1">
        <f t="shared" si="30"/>
        <v>11422570.57588115</v>
      </c>
      <c r="G505" s="1">
        <f t="shared" si="30"/>
        <v>12564827.633469263</v>
      </c>
      <c r="H505" s="1">
        <f t="shared" si="30"/>
        <v>13707084.69105738</v>
      </c>
      <c r="I505" s="1">
        <f t="shared" si="30"/>
        <v>14849341.748645496</v>
      </c>
      <c r="J505" s="1">
        <f t="shared" si="31"/>
        <v>15991598.806233609</v>
      </c>
      <c r="K505" s="1">
        <f t="shared" si="31"/>
        <v>17133855.863821723</v>
      </c>
    </row>
    <row r="506" spans="1:11" x14ac:dyDescent="0.25">
      <c r="A506" t="s">
        <v>528</v>
      </c>
      <c r="B506" t="s">
        <v>546</v>
      </c>
      <c r="C506" t="s">
        <v>550</v>
      </c>
      <c r="D506" s="1">
        <v>5661099</v>
      </c>
      <c r="E506" s="1">
        <f t="shared" si="29"/>
        <v>6179270.7472984241</v>
      </c>
      <c r="F506" s="1">
        <f t="shared" si="30"/>
        <v>7062023.7111981986</v>
      </c>
      <c r="G506" s="1">
        <f t="shared" si="30"/>
        <v>7768226.0823180173</v>
      </c>
      <c r="H506" s="1">
        <f t="shared" si="30"/>
        <v>8474428.4534378368</v>
      </c>
      <c r="I506" s="1">
        <f t="shared" si="30"/>
        <v>9180630.8245576583</v>
      </c>
      <c r="J506" s="1">
        <f t="shared" si="31"/>
        <v>9886833.195677476</v>
      </c>
      <c r="K506" s="1">
        <f t="shared" si="31"/>
        <v>10593035.566797297</v>
      </c>
    </row>
    <row r="507" spans="1:11" x14ac:dyDescent="0.25">
      <c r="A507" t="s">
        <v>528</v>
      </c>
      <c r="B507" t="s">
        <v>546</v>
      </c>
      <c r="C507" t="s">
        <v>551</v>
      </c>
      <c r="D507" s="1">
        <v>3587180</v>
      </c>
      <c r="E507" s="1">
        <f t="shared" si="29"/>
        <v>3915521.7810700643</v>
      </c>
      <c r="F507" s="1">
        <f t="shared" si="30"/>
        <v>4474882.0355086448</v>
      </c>
      <c r="G507" s="1">
        <f t="shared" si="30"/>
        <v>4922370.2390595088</v>
      </c>
      <c r="H507" s="1">
        <f t="shared" si="30"/>
        <v>5369858.4426103737</v>
      </c>
      <c r="I507" s="1">
        <f t="shared" si="30"/>
        <v>5817346.6461612377</v>
      </c>
      <c r="J507" s="1">
        <f t="shared" si="31"/>
        <v>6264834.8497121017</v>
      </c>
      <c r="K507" s="1">
        <f t="shared" si="31"/>
        <v>6712323.0532629667</v>
      </c>
    </row>
    <row r="508" spans="1:11" x14ac:dyDescent="0.25">
      <c r="A508" t="s">
        <v>528</v>
      </c>
      <c r="B508" t="s">
        <v>546</v>
      </c>
      <c r="C508" t="s">
        <v>552</v>
      </c>
      <c r="D508" s="1">
        <v>1700001</v>
      </c>
      <c r="E508" s="1">
        <f t="shared" si="29"/>
        <v>1855605.5016310557</v>
      </c>
      <c r="F508" s="1">
        <f t="shared" si="30"/>
        <v>2120692.0018640636</v>
      </c>
      <c r="G508" s="1">
        <f t="shared" si="30"/>
        <v>2332761.2020504698</v>
      </c>
      <c r="H508" s="1">
        <f t="shared" si="30"/>
        <v>2544830.4022368761</v>
      </c>
      <c r="I508" s="1">
        <f t="shared" si="30"/>
        <v>2756899.6024232828</v>
      </c>
      <c r="J508" s="1">
        <f t="shared" si="31"/>
        <v>2968968.8026096886</v>
      </c>
      <c r="K508" s="1">
        <f t="shared" si="31"/>
        <v>3181038.0027960953</v>
      </c>
    </row>
    <row r="509" spans="1:11" x14ac:dyDescent="0.25">
      <c r="A509" t="s">
        <v>528</v>
      </c>
      <c r="B509" t="s">
        <v>546</v>
      </c>
      <c r="C509" t="s">
        <v>553</v>
      </c>
      <c r="D509" s="1">
        <v>4459946</v>
      </c>
      <c r="E509" s="1">
        <f t="shared" si="29"/>
        <v>4868173.8037668336</v>
      </c>
      <c r="F509" s="1">
        <f t="shared" si="30"/>
        <v>5563627.2043049522</v>
      </c>
      <c r="G509" s="1">
        <f t="shared" si="30"/>
        <v>6119989.9247354465</v>
      </c>
      <c r="H509" s="1">
        <f t="shared" si="30"/>
        <v>6676352.6451659426</v>
      </c>
      <c r="I509" s="1">
        <f t="shared" si="30"/>
        <v>7232715.3655964378</v>
      </c>
      <c r="J509" s="1">
        <f t="shared" si="31"/>
        <v>7789078.0860269321</v>
      </c>
      <c r="K509" s="1">
        <f t="shared" si="31"/>
        <v>8345440.8064574273</v>
      </c>
    </row>
    <row r="510" spans="1:11" x14ac:dyDescent="0.25">
      <c r="A510" t="s">
        <v>528</v>
      </c>
      <c r="B510" t="s">
        <v>546</v>
      </c>
      <c r="C510" t="s">
        <v>554</v>
      </c>
      <c r="D510" s="1">
        <v>4180206</v>
      </c>
      <c r="E510" s="1">
        <f t="shared" si="29"/>
        <v>4562828.640425005</v>
      </c>
      <c r="F510" s="1">
        <f t="shared" si="30"/>
        <v>5214661.303342863</v>
      </c>
      <c r="G510" s="1">
        <f t="shared" si="30"/>
        <v>5736127.4336771481</v>
      </c>
      <c r="H510" s="1">
        <f t="shared" si="30"/>
        <v>6257593.564011435</v>
      </c>
      <c r="I510" s="1">
        <f t="shared" si="30"/>
        <v>6779059.694345721</v>
      </c>
      <c r="J510" s="1">
        <f t="shared" si="31"/>
        <v>7300525.8246800071</v>
      </c>
      <c r="K510" s="1">
        <f t="shared" si="31"/>
        <v>7821991.9550142931</v>
      </c>
    </row>
    <row r="511" spans="1:11" x14ac:dyDescent="0.25">
      <c r="A511" t="s">
        <v>528</v>
      </c>
      <c r="B511" t="s">
        <v>546</v>
      </c>
      <c r="C511" t="s">
        <v>555</v>
      </c>
      <c r="D511" s="1">
        <v>4739334</v>
      </c>
      <c r="E511" s="1">
        <f t="shared" si="29"/>
        <v>5173134.7478425708</v>
      </c>
      <c r="F511" s="1">
        <f t="shared" si="30"/>
        <v>5912153.9975343663</v>
      </c>
      <c r="G511" s="1">
        <f t="shared" si="30"/>
        <v>6503369.3972878018</v>
      </c>
      <c r="H511" s="1">
        <f t="shared" si="30"/>
        <v>7094584.7970412392</v>
      </c>
      <c r="I511" s="1">
        <f t="shared" si="30"/>
        <v>7685800.1967946757</v>
      </c>
      <c r="J511" s="1">
        <f t="shared" si="31"/>
        <v>8277015.5965481121</v>
      </c>
      <c r="K511" s="1">
        <f t="shared" si="31"/>
        <v>8868230.9963015486</v>
      </c>
    </row>
    <row r="512" spans="1:11" x14ac:dyDescent="0.25">
      <c r="A512" t="s">
        <v>528</v>
      </c>
      <c r="B512" t="s">
        <v>546</v>
      </c>
      <c r="C512" t="s">
        <v>556</v>
      </c>
      <c r="D512" s="1">
        <v>3912796</v>
      </c>
      <c r="E512" s="1">
        <f t="shared" si="29"/>
        <v>4270942.0667164242</v>
      </c>
      <c r="F512" s="1">
        <f t="shared" si="30"/>
        <v>4881076.6476759138</v>
      </c>
      <c r="G512" s="1">
        <f t="shared" si="30"/>
        <v>5369184.3124435041</v>
      </c>
      <c r="H512" s="1">
        <f t="shared" si="30"/>
        <v>5857291.9772110954</v>
      </c>
      <c r="I512" s="1">
        <f t="shared" si="30"/>
        <v>6345399.6419786876</v>
      </c>
      <c r="J512" s="1">
        <f t="shared" si="31"/>
        <v>6833507.306746278</v>
      </c>
      <c r="K512" s="1">
        <f t="shared" si="31"/>
        <v>7321614.9715138702</v>
      </c>
    </row>
    <row r="513" spans="1:11" x14ac:dyDescent="0.25">
      <c r="A513" t="s">
        <v>528</v>
      </c>
      <c r="B513" t="s">
        <v>546</v>
      </c>
      <c r="C513" t="s">
        <v>557</v>
      </c>
      <c r="D513" s="1">
        <v>6713625</v>
      </c>
      <c r="E513" s="1">
        <f t="shared" si="29"/>
        <v>7328136.5633830782</v>
      </c>
      <c r="F513" s="1">
        <f t="shared" si="30"/>
        <v>8375013.215294946</v>
      </c>
      <c r="G513" s="1">
        <f t="shared" si="30"/>
        <v>9212514.5368244406</v>
      </c>
      <c r="H513" s="1">
        <f t="shared" si="30"/>
        <v>10050015.858353935</v>
      </c>
      <c r="I513" s="1">
        <f t="shared" si="30"/>
        <v>10887517.17988343</v>
      </c>
      <c r="J513" s="1">
        <f t="shared" si="31"/>
        <v>11725018.501412924</v>
      </c>
      <c r="K513" s="1">
        <f t="shared" si="31"/>
        <v>12562519.822942419</v>
      </c>
    </row>
    <row r="514" spans="1:11" x14ac:dyDescent="0.25">
      <c r="A514" t="s">
        <v>528</v>
      </c>
      <c r="B514" t="s">
        <v>546</v>
      </c>
      <c r="C514" t="s">
        <v>558</v>
      </c>
      <c r="D514" s="1">
        <v>3510460</v>
      </c>
      <c r="E514" s="1">
        <f t="shared" si="29"/>
        <v>3831779.4455742999</v>
      </c>
      <c r="F514" s="1">
        <f t="shared" si="30"/>
        <v>4379176.5092277713</v>
      </c>
      <c r="G514" s="1">
        <f t="shared" si="30"/>
        <v>4817094.1601505484</v>
      </c>
      <c r="H514" s="1">
        <f t="shared" si="30"/>
        <v>5255011.8110733256</v>
      </c>
      <c r="I514" s="1">
        <f t="shared" si="30"/>
        <v>5692929.4619961027</v>
      </c>
      <c r="J514" s="1">
        <f t="shared" si="31"/>
        <v>6130847.1129188798</v>
      </c>
      <c r="K514" s="1">
        <f t="shared" si="31"/>
        <v>6568764.763841657</v>
      </c>
    </row>
    <row r="515" spans="1:11" x14ac:dyDescent="0.25">
      <c r="A515" t="s">
        <v>528</v>
      </c>
      <c r="B515" t="s">
        <v>546</v>
      </c>
      <c r="C515" t="s">
        <v>559</v>
      </c>
      <c r="D515" s="1">
        <v>3554508</v>
      </c>
      <c r="E515" s="1">
        <f t="shared" si="29"/>
        <v>3879859.2473719725</v>
      </c>
      <c r="F515" s="1">
        <f t="shared" si="30"/>
        <v>4434124.8541393969</v>
      </c>
      <c r="G515" s="1">
        <f t="shared" si="30"/>
        <v>4877537.3395533357</v>
      </c>
      <c r="H515" s="1">
        <f t="shared" si="30"/>
        <v>5320949.8249672763</v>
      </c>
      <c r="I515" s="1">
        <f t="shared" ref="I515" si="32">I$1/SUM($D$3:$D$696)*$D515</f>
        <v>5764362.310381216</v>
      </c>
      <c r="J515" s="1">
        <f t="shared" si="31"/>
        <v>6207774.7957951548</v>
      </c>
      <c r="K515" s="1">
        <f t="shared" si="31"/>
        <v>6651187.2812090954</v>
      </c>
    </row>
    <row r="516" spans="1:11" x14ac:dyDescent="0.25">
      <c r="A516" t="s">
        <v>528</v>
      </c>
      <c r="B516" t="s">
        <v>546</v>
      </c>
      <c r="C516" t="s">
        <v>560</v>
      </c>
      <c r="D516" s="1">
        <v>3335771</v>
      </c>
      <c r="E516" s="1">
        <f t="shared" ref="E516:E579" si="33">$E$1/SUM($D$3:$D$696)*D516</f>
        <v>3641100.8109885394</v>
      </c>
      <c r="F516" s="1">
        <f t="shared" ref="F516:I579" si="34">F$1/SUM($D$3:$D$696)*$D516</f>
        <v>4161258.0697011878</v>
      </c>
      <c r="G516" s="1">
        <f t="shared" si="34"/>
        <v>4577383.8766713059</v>
      </c>
      <c r="H516" s="1">
        <f t="shared" si="34"/>
        <v>4993509.6836414253</v>
      </c>
      <c r="I516" s="1">
        <f t="shared" si="34"/>
        <v>5409635.4906115439</v>
      </c>
      <c r="J516" s="1">
        <f t="shared" ref="J516:K579" si="35">J$1/SUM($D$3:$D$696)*$D516</f>
        <v>5825761.2975816624</v>
      </c>
      <c r="K516" s="1">
        <f t="shared" si="35"/>
        <v>6241887.1045517819</v>
      </c>
    </row>
    <row r="517" spans="1:11" x14ac:dyDescent="0.25">
      <c r="A517" t="s">
        <v>528</v>
      </c>
      <c r="B517" t="s">
        <v>546</v>
      </c>
      <c r="C517" t="s">
        <v>561</v>
      </c>
      <c r="D517" s="1">
        <v>8716188</v>
      </c>
      <c r="E517" s="1">
        <f t="shared" si="33"/>
        <v>9513998.1717955396</v>
      </c>
      <c r="F517" s="1">
        <f t="shared" si="34"/>
        <v>10873140.76776633</v>
      </c>
      <c r="G517" s="1">
        <f t="shared" si="34"/>
        <v>11960454.844542962</v>
      </c>
      <c r="H517" s="1">
        <f t="shared" si="34"/>
        <v>13047768.921319595</v>
      </c>
      <c r="I517" s="1">
        <f t="shared" si="34"/>
        <v>14135082.99809623</v>
      </c>
      <c r="J517" s="1">
        <f t="shared" si="35"/>
        <v>15222397.074872861</v>
      </c>
      <c r="K517" s="1">
        <f t="shared" si="35"/>
        <v>16309711.151649494</v>
      </c>
    </row>
    <row r="518" spans="1:11" x14ac:dyDescent="0.25">
      <c r="A518" t="s">
        <v>528</v>
      </c>
      <c r="B518" t="s">
        <v>562</v>
      </c>
      <c r="C518" t="s">
        <v>563</v>
      </c>
      <c r="D518" s="1">
        <v>3189091</v>
      </c>
      <c r="E518" s="1">
        <f t="shared" si="33"/>
        <v>3480994.8963571698</v>
      </c>
      <c r="F518" s="1">
        <f t="shared" si="34"/>
        <v>3978279.881551051</v>
      </c>
      <c r="G518" s="1">
        <f t="shared" si="34"/>
        <v>4376107.8697061557</v>
      </c>
      <c r="H518" s="1">
        <f t="shared" si="34"/>
        <v>4773935.8578612609</v>
      </c>
      <c r="I518" s="1">
        <f t="shared" si="34"/>
        <v>5171763.846016366</v>
      </c>
      <c r="J518" s="1">
        <f t="shared" si="35"/>
        <v>5569591.8341714712</v>
      </c>
      <c r="K518" s="1">
        <f t="shared" si="35"/>
        <v>5967419.8223265763</v>
      </c>
    </row>
    <row r="519" spans="1:11" x14ac:dyDescent="0.25">
      <c r="A519" t="s">
        <v>451</v>
      </c>
      <c r="B519" t="s">
        <v>467</v>
      </c>
      <c r="C519" t="s">
        <v>564</v>
      </c>
      <c r="D519" s="1">
        <v>1700000</v>
      </c>
      <c r="E519" s="1">
        <f t="shared" si="33"/>
        <v>1855604.4100990498</v>
      </c>
      <c r="F519" s="1">
        <f t="shared" si="34"/>
        <v>2120690.7543989141</v>
      </c>
      <c r="G519" s="1">
        <f t="shared" si="34"/>
        <v>2332759.8298388049</v>
      </c>
      <c r="H519" s="1">
        <f t="shared" si="34"/>
        <v>2544828.9052786967</v>
      </c>
      <c r="I519" s="1">
        <f t="shared" si="34"/>
        <v>2756897.980718588</v>
      </c>
      <c r="J519" s="1">
        <f t="shared" si="35"/>
        <v>2968967.0561584793</v>
      </c>
      <c r="K519" s="1">
        <f t="shared" si="35"/>
        <v>3181036.1315983706</v>
      </c>
    </row>
    <row r="520" spans="1:11" x14ac:dyDescent="0.25">
      <c r="A520" t="s">
        <v>528</v>
      </c>
      <c r="B520" t="s">
        <v>562</v>
      </c>
      <c r="C520" t="s">
        <v>565</v>
      </c>
      <c r="D520" s="1">
        <v>5140156</v>
      </c>
      <c r="E520" s="1">
        <f t="shared" si="33"/>
        <v>5610644.7895277003</v>
      </c>
      <c r="F520" s="1">
        <f t="shared" si="34"/>
        <v>6412165.473745943</v>
      </c>
      <c r="G520" s="1">
        <f t="shared" si="34"/>
        <v>7053382.0211205371</v>
      </c>
      <c r="H520" s="1">
        <f t="shared" si="34"/>
        <v>7694598.568495132</v>
      </c>
      <c r="I520" s="1">
        <f t="shared" si="34"/>
        <v>8335815.1158697261</v>
      </c>
      <c r="J520" s="1">
        <f t="shared" si="35"/>
        <v>8977031.6632443201</v>
      </c>
      <c r="K520" s="1">
        <f t="shared" si="35"/>
        <v>9618248.210618915</v>
      </c>
    </row>
    <row r="521" spans="1:11" x14ac:dyDescent="0.25">
      <c r="A521" t="s">
        <v>528</v>
      </c>
      <c r="B521" t="s">
        <v>562</v>
      </c>
      <c r="C521" t="s">
        <v>566</v>
      </c>
      <c r="D521" s="1">
        <v>5206072</v>
      </c>
      <c r="E521" s="1">
        <f t="shared" si="33"/>
        <v>5682594.2132312823</v>
      </c>
      <c r="F521" s="1">
        <f t="shared" si="34"/>
        <v>6494393.3865500372</v>
      </c>
      <c r="G521" s="1">
        <f t="shared" si="34"/>
        <v>7143832.7252050396</v>
      </c>
      <c r="H521" s="1">
        <f t="shared" si="34"/>
        <v>7793272.0638600439</v>
      </c>
      <c r="I521" s="1">
        <f t="shared" si="34"/>
        <v>8442711.4025150482</v>
      </c>
      <c r="J521" s="1">
        <f t="shared" si="35"/>
        <v>9092150.7411700506</v>
      </c>
      <c r="K521" s="1">
        <f t="shared" si="35"/>
        <v>9741590.0798250549</v>
      </c>
    </row>
    <row r="522" spans="1:11" x14ac:dyDescent="0.25">
      <c r="A522" t="s">
        <v>528</v>
      </c>
      <c r="B522" t="s">
        <v>562</v>
      </c>
      <c r="C522" t="s">
        <v>567</v>
      </c>
      <c r="D522" s="1">
        <v>3393494</v>
      </c>
      <c r="E522" s="1">
        <f t="shared" si="33"/>
        <v>3704107.3129674499</v>
      </c>
      <c r="F522" s="1">
        <f t="shared" si="34"/>
        <v>4233265.500534228</v>
      </c>
      <c r="G522" s="1">
        <f t="shared" si="34"/>
        <v>4656592.0505876504</v>
      </c>
      <c r="H522" s="1">
        <f t="shared" si="34"/>
        <v>5079918.6006410737</v>
      </c>
      <c r="I522" s="1">
        <f t="shared" si="34"/>
        <v>5503245.1506944969</v>
      </c>
      <c r="J522" s="1">
        <f t="shared" si="35"/>
        <v>5926571.7007479193</v>
      </c>
      <c r="K522" s="1">
        <f t="shared" si="35"/>
        <v>6349898.2508013416</v>
      </c>
    </row>
    <row r="523" spans="1:11" x14ac:dyDescent="0.25">
      <c r="A523" t="s">
        <v>528</v>
      </c>
      <c r="B523" t="s">
        <v>562</v>
      </c>
      <c r="C523" t="s">
        <v>568</v>
      </c>
      <c r="D523" s="1">
        <v>3185216</v>
      </c>
      <c r="E523" s="1">
        <f t="shared" si="33"/>
        <v>3476765.20983415</v>
      </c>
      <c r="F523" s="1">
        <f t="shared" si="34"/>
        <v>3973445.9540961711</v>
      </c>
      <c r="G523" s="1">
        <f t="shared" si="34"/>
        <v>4370790.5495057879</v>
      </c>
      <c r="H523" s="1">
        <f t="shared" si="34"/>
        <v>4768135.1449154047</v>
      </c>
      <c r="I523" s="1">
        <f t="shared" si="34"/>
        <v>5165479.7403250225</v>
      </c>
      <c r="J523" s="1">
        <f t="shared" si="35"/>
        <v>5562824.3357346393</v>
      </c>
      <c r="K523" s="1">
        <f t="shared" si="35"/>
        <v>5960168.9311442561</v>
      </c>
    </row>
    <row r="524" spans="1:11" x14ac:dyDescent="0.25">
      <c r="A524" t="s">
        <v>528</v>
      </c>
      <c r="B524" t="s">
        <v>562</v>
      </c>
      <c r="C524" t="s">
        <v>569</v>
      </c>
      <c r="D524" s="1">
        <v>1700000</v>
      </c>
      <c r="E524" s="1">
        <f t="shared" si="33"/>
        <v>1855604.4100990498</v>
      </c>
      <c r="F524" s="1">
        <f t="shared" si="34"/>
        <v>2120690.7543989141</v>
      </c>
      <c r="G524" s="1">
        <f t="shared" si="34"/>
        <v>2332759.8298388049</v>
      </c>
      <c r="H524" s="1">
        <f t="shared" si="34"/>
        <v>2544828.9052786967</v>
      </c>
      <c r="I524" s="1">
        <f t="shared" si="34"/>
        <v>2756897.980718588</v>
      </c>
      <c r="J524" s="1">
        <f t="shared" si="35"/>
        <v>2968967.0561584793</v>
      </c>
      <c r="K524" s="1">
        <f t="shared" si="35"/>
        <v>3181036.1315983706</v>
      </c>
    </row>
    <row r="525" spans="1:11" x14ac:dyDescent="0.25">
      <c r="A525" t="s">
        <v>528</v>
      </c>
      <c r="B525" t="s">
        <v>562</v>
      </c>
      <c r="C525" t="s">
        <v>570</v>
      </c>
      <c r="D525" s="1">
        <v>6878003</v>
      </c>
      <c r="E525" s="1">
        <f t="shared" si="33"/>
        <v>7507560.4114555847</v>
      </c>
      <c r="F525" s="1">
        <f t="shared" si="34"/>
        <v>8580069.0416635256</v>
      </c>
      <c r="G525" s="1">
        <f t="shared" si="34"/>
        <v>9438075.9458298776</v>
      </c>
      <c r="H525" s="1">
        <f t="shared" si="34"/>
        <v>10296082.84999623</v>
      </c>
      <c r="I525" s="1">
        <f t="shared" si="34"/>
        <v>11154089.754162584</v>
      </c>
      <c r="J525" s="1">
        <f t="shared" si="35"/>
        <v>12012096.658328934</v>
      </c>
      <c r="K525" s="1">
        <f t="shared" si="35"/>
        <v>12870103.562495288</v>
      </c>
    </row>
    <row r="526" spans="1:11" x14ac:dyDescent="0.25">
      <c r="A526" t="s">
        <v>528</v>
      </c>
      <c r="B526" t="s">
        <v>562</v>
      </c>
      <c r="C526" t="s">
        <v>571</v>
      </c>
      <c r="D526" s="1">
        <v>4539485</v>
      </c>
      <c r="E526" s="1">
        <f t="shared" si="33"/>
        <v>4954993.1679873439</v>
      </c>
      <c r="F526" s="1">
        <f t="shared" si="34"/>
        <v>5662849.3348426791</v>
      </c>
      <c r="G526" s="1">
        <f t="shared" si="34"/>
        <v>6229134.2683269456</v>
      </c>
      <c r="H526" s="1">
        <f t="shared" si="34"/>
        <v>6795419.201811214</v>
      </c>
      <c r="I526" s="1">
        <f t="shared" si="34"/>
        <v>7361704.1352954824</v>
      </c>
      <c r="J526" s="1">
        <f t="shared" si="35"/>
        <v>7927989.0687797498</v>
      </c>
      <c r="K526" s="1">
        <f t="shared" si="35"/>
        <v>8494274.0022640172</v>
      </c>
    </row>
    <row r="527" spans="1:11" x14ac:dyDescent="0.25">
      <c r="A527" t="s">
        <v>528</v>
      </c>
      <c r="B527" t="s">
        <v>562</v>
      </c>
      <c r="C527" t="s">
        <v>572</v>
      </c>
      <c r="D527" s="1">
        <v>4183189</v>
      </c>
      <c r="E527" s="1">
        <f t="shared" si="33"/>
        <v>4566084.6803987259</v>
      </c>
      <c r="F527" s="1">
        <f t="shared" si="34"/>
        <v>5218382.4918842576</v>
      </c>
      <c r="G527" s="1">
        <f t="shared" si="34"/>
        <v>5740220.7410726827</v>
      </c>
      <c r="H527" s="1">
        <f t="shared" si="34"/>
        <v>6262058.9902611095</v>
      </c>
      <c r="I527" s="1">
        <f t="shared" si="34"/>
        <v>6783897.2394495355</v>
      </c>
      <c r="J527" s="1">
        <f t="shared" si="35"/>
        <v>7305735.4886379605</v>
      </c>
      <c r="K527" s="1">
        <f t="shared" si="35"/>
        <v>7827573.7378263865</v>
      </c>
    </row>
    <row r="528" spans="1:11" x14ac:dyDescent="0.25">
      <c r="A528" t="s">
        <v>528</v>
      </c>
      <c r="B528" t="s">
        <v>562</v>
      </c>
      <c r="C528" t="s">
        <v>573</v>
      </c>
      <c r="D528" s="1">
        <v>2283904</v>
      </c>
      <c r="E528" s="1">
        <f t="shared" si="33"/>
        <v>2492954.3144958001</v>
      </c>
      <c r="F528" s="1">
        <f t="shared" si="34"/>
        <v>2849090.6451380569</v>
      </c>
      <c r="G528" s="1">
        <f t="shared" si="34"/>
        <v>3133999.7096518627</v>
      </c>
      <c r="H528" s="1">
        <f t="shared" si="34"/>
        <v>3418908.7741656685</v>
      </c>
      <c r="I528" s="1">
        <f t="shared" si="34"/>
        <v>3703817.8386794743</v>
      </c>
      <c r="J528" s="1">
        <f t="shared" si="35"/>
        <v>3988726.9031932796</v>
      </c>
      <c r="K528" s="1">
        <f t="shared" si="35"/>
        <v>4273635.9677070854</v>
      </c>
    </row>
    <row r="529" spans="1:11" x14ac:dyDescent="0.25">
      <c r="A529" t="s">
        <v>528</v>
      </c>
      <c r="B529" t="s">
        <v>562</v>
      </c>
      <c r="C529" t="s">
        <v>574</v>
      </c>
      <c r="D529" s="1">
        <v>4971325</v>
      </c>
      <c r="E529" s="1">
        <f t="shared" si="33"/>
        <v>5426360.3494327404</v>
      </c>
      <c r="F529" s="1">
        <f t="shared" si="34"/>
        <v>6201554.6850659885</v>
      </c>
      <c r="G529" s="1">
        <f t="shared" si="34"/>
        <v>6821710.1535725873</v>
      </c>
      <c r="H529" s="1">
        <f t="shared" si="34"/>
        <v>7441865.6220791861</v>
      </c>
      <c r="I529" s="1">
        <f t="shared" si="34"/>
        <v>8062021.090585785</v>
      </c>
      <c r="J529" s="1">
        <f t="shared" si="35"/>
        <v>8682176.5590923838</v>
      </c>
      <c r="K529" s="1">
        <f t="shared" si="35"/>
        <v>9302332.0275989827</v>
      </c>
    </row>
    <row r="530" spans="1:11" x14ac:dyDescent="0.25">
      <c r="A530" t="s">
        <v>528</v>
      </c>
      <c r="B530" t="s">
        <v>562</v>
      </c>
      <c r="C530" t="s">
        <v>575</v>
      </c>
      <c r="D530" s="1">
        <v>3483725</v>
      </c>
      <c r="E530" s="1">
        <f t="shared" si="33"/>
        <v>3802597.3373954776</v>
      </c>
      <c r="F530" s="1">
        <f t="shared" si="34"/>
        <v>4345825.5284519745</v>
      </c>
      <c r="G530" s="1">
        <f t="shared" si="34"/>
        <v>4780408.0812971713</v>
      </c>
      <c r="H530" s="1">
        <f t="shared" si="34"/>
        <v>5214990.634142369</v>
      </c>
      <c r="I530" s="1">
        <f t="shared" si="34"/>
        <v>5649573.1869875668</v>
      </c>
      <c r="J530" s="1">
        <f t="shared" si="35"/>
        <v>6084155.7398327636</v>
      </c>
      <c r="K530" s="1">
        <f t="shared" si="35"/>
        <v>6518738.2926779613</v>
      </c>
    </row>
    <row r="531" spans="1:11" x14ac:dyDescent="0.25">
      <c r="A531" t="s">
        <v>528</v>
      </c>
      <c r="B531" t="s">
        <v>562</v>
      </c>
      <c r="C531" t="s">
        <v>576</v>
      </c>
      <c r="D531" s="1">
        <v>5235138</v>
      </c>
      <c r="E531" s="1">
        <f t="shared" si="33"/>
        <v>5714320.6825159527</v>
      </c>
      <c r="F531" s="1">
        <f t="shared" si="34"/>
        <v>6530652.20858966</v>
      </c>
      <c r="G531" s="1">
        <f t="shared" si="34"/>
        <v>7183717.4294486251</v>
      </c>
      <c r="H531" s="1">
        <f t="shared" si="34"/>
        <v>7836782.6503075911</v>
      </c>
      <c r="I531" s="1">
        <f t="shared" si="34"/>
        <v>8489847.8711665571</v>
      </c>
      <c r="J531" s="1">
        <f t="shared" si="35"/>
        <v>9142913.0920255221</v>
      </c>
      <c r="K531" s="1">
        <f t="shared" si="35"/>
        <v>9795978.3128844891</v>
      </c>
    </row>
    <row r="532" spans="1:11" x14ac:dyDescent="0.25">
      <c r="A532" t="s">
        <v>528</v>
      </c>
      <c r="B532" t="s">
        <v>562</v>
      </c>
      <c r="C532" t="s">
        <v>577</v>
      </c>
      <c r="D532" s="1">
        <v>4245420</v>
      </c>
      <c r="E532" s="1">
        <f t="shared" si="33"/>
        <v>4634011.8086604159</v>
      </c>
      <c r="F532" s="1">
        <f t="shared" si="34"/>
        <v>5296013.4956119042</v>
      </c>
      <c r="G532" s="1">
        <f t="shared" si="34"/>
        <v>5825614.8451730944</v>
      </c>
      <c r="H532" s="1">
        <f t="shared" si="34"/>
        <v>6355216.1947342847</v>
      </c>
      <c r="I532" s="1">
        <f t="shared" si="34"/>
        <v>6884817.5442954758</v>
      </c>
      <c r="J532" s="1">
        <f t="shared" si="35"/>
        <v>7414418.8938566651</v>
      </c>
      <c r="K532" s="1">
        <f t="shared" si="35"/>
        <v>7944020.2434178563</v>
      </c>
    </row>
    <row r="533" spans="1:11" x14ac:dyDescent="0.25">
      <c r="A533" t="s">
        <v>528</v>
      </c>
      <c r="B533" t="s">
        <v>578</v>
      </c>
      <c r="C533" t="s">
        <v>579</v>
      </c>
      <c r="D533" s="1">
        <v>4194556</v>
      </c>
      <c r="E533" s="1">
        <f t="shared" si="33"/>
        <v>4578492.1247102525</v>
      </c>
      <c r="F533" s="1">
        <f t="shared" si="34"/>
        <v>5232562.428240289</v>
      </c>
      <c r="G533" s="1">
        <f t="shared" si="34"/>
        <v>5755818.6710643172</v>
      </c>
      <c r="H533" s="1">
        <f t="shared" si="34"/>
        <v>6279074.9138883464</v>
      </c>
      <c r="I533" s="1">
        <f t="shared" si="34"/>
        <v>6802331.1567123756</v>
      </c>
      <c r="J533" s="1">
        <f t="shared" si="35"/>
        <v>7325587.3995364038</v>
      </c>
      <c r="K533" s="1">
        <f t="shared" si="35"/>
        <v>7848843.642360433</v>
      </c>
    </row>
    <row r="534" spans="1:11" x14ac:dyDescent="0.25">
      <c r="A534" t="s">
        <v>528</v>
      </c>
      <c r="B534" t="s">
        <v>578</v>
      </c>
      <c r="C534" t="s">
        <v>580</v>
      </c>
      <c r="D534" s="1">
        <v>4144272</v>
      </c>
      <c r="E534" s="1">
        <f t="shared" si="33"/>
        <v>4523605.529323535</v>
      </c>
      <c r="F534" s="1">
        <f t="shared" si="34"/>
        <v>5169834.8906554682</v>
      </c>
      <c r="G534" s="1">
        <f t="shared" si="34"/>
        <v>5686818.3797210148</v>
      </c>
      <c r="H534" s="1">
        <f t="shared" si="34"/>
        <v>6203801.8687865613</v>
      </c>
      <c r="I534" s="1">
        <f t="shared" si="34"/>
        <v>6720785.3578521088</v>
      </c>
      <c r="J534" s="1">
        <f t="shared" si="35"/>
        <v>7237768.8469176544</v>
      </c>
      <c r="K534" s="1">
        <f t="shared" si="35"/>
        <v>7754752.3359832019</v>
      </c>
    </row>
    <row r="535" spans="1:11" x14ac:dyDescent="0.25">
      <c r="A535" t="s">
        <v>528</v>
      </c>
      <c r="B535" t="s">
        <v>578</v>
      </c>
      <c r="C535" t="s">
        <v>581</v>
      </c>
      <c r="D535" s="1">
        <v>3455093</v>
      </c>
      <c r="E535" s="1">
        <f t="shared" si="33"/>
        <v>3771344.5930013862</v>
      </c>
      <c r="F535" s="1">
        <f t="shared" si="34"/>
        <v>4310108.1062872978</v>
      </c>
      <c r="G535" s="1">
        <f t="shared" si="34"/>
        <v>4741118.9169160277</v>
      </c>
      <c r="H535" s="1">
        <f t="shared" si="34"/>
        <v>5172129.7275447575</v>
      </c>
      <c r="I535" s="1">
        <f t="shared" si="34"/>
        <v>5603140.5381734874</v>
      </c>
      <c r="J535" s="1">
        <f t="shared" si="35"/>
        <v>6034151.3488022164</v>
      </c>
      <c r="K535" s="1">
        <f t="shared" si="35"/>
        <v>6465162.1594309472</v>
      </c>
    </row>
    <row r="536" spans="1:11" x14ac:dyDescent="0.25">
      <c r="A536" t="s">
        <v>528</v>
      </c>
      <c r="B536" t="s">
        <v>578</v>
      </c>
      <c r="C536" t="s">
        <v>582</v>
      </c>
      <c r="D536" s="1">
        <v>9211032</v>
      </c>
      <c r="E536" s="1">
        <f t="shared" si="33"/>
        <v>10054136.235743217</v>
      </c>
      <c r="F536" s="1">
        <f t="shared" si="34"/>
        <v>11490441.412277963</v>
      </c>
      <c r="G536" s="1">
        <f t="shared" si="34"/>
        <v>12639485.553505758</v>
      </c>
      <c r="H536" s="1">
        <f t="shared" si="34"/>
        <v>13788529.694733554</v>
      </c>
      <c r="I536" s="1">
        <f t="shared" si="34"/>
        <v>14937573.835961351</v>
      </c>
      <c r="J536" s="1">
        <f t="shared" si="35"/>
        <v>16086617.977189146</v>
      </c>
      <c r="K536" s="1">
        <f t="shared" si="35"/>
        <v>17235662.118416943</v>
      </c>
    </row>
    <row r="537" spans="1:11" x14ac:dyDescent="0.25">
      <c r="A537" t="s">
        <v>528</v>
      </c>
      <c r="B537" t="s">
        <v>578</v>
      </c>
      <c r="C537" t="s">
        <v>583</v>
      </c>
      <c r="D537" s="1">
        <v>3290586</v>
      </c>
      <c r="E537" s="1">
        <f t="shared" si="33"/>
        <v>3591779.9373001126</v>
      </c>
      <c r="F537" s="1">
        <f t="shared" si="34"/>
        <v>4104891.3569144146</v>
      </c>
      <c r="G537" s="1">
        <f t="shared" si="34"/>
        <v>4515380.4926058557</v>
      </c>
      <c r="H537" s="1">
        <f t="shared" si="34"/>
        <v>4925869.6282972973</v>
      </c>
      <c r="I537" s="1">
        <f t="shared" si="34"/>
        <v>5336358.7639887389</v>
      </c>
      <c r="J537" s="1">
        <f t="shared" si="35"/>
        <v>5746847.8996801795</v>
      </c>
      <c r="K537" s="1">
        <f t="shared" si="35"/>
        <v>6157337.0353716211</v>
      </c>
    </row>
    <row r="538" spans="1:11" x14ac:dyDescent="0.25">
      <c r="A538" t="s">
        <v>528</v>
      </c>
      <c r="B538" t="s">
        <v>578</v>
      </c>
      <c r="C538" t="s">
        <v>584</v>
      </c>
      <c r="D538" s="1">
        <v>3601159</v>
      </c>
      <c r="E538" s="1">
        <f t="shared" si="33"/>
        <v>3930780.3069811082</v>
      </c>
      <c r="F538" s="1">
        <f t="shared" si="34"/>
        <v>4492320.3508355524</v>
      </c>
      <c r="G538" s="1">
        <f t="shared" si="34"/>
        <v>4941552.3859191071</v>
      </c>
      <c r="H538" s="1">
        <f t="shared" si="34"/>
        <v>5390784.4210026618</v>
      </c>
      <c r="I538" s="1">
        <f t="shared" si="34"/>
        <v>5840016.4560862174</v>
      </c>
      <c r="J538" s="1">
        <f t="shared" si="35"/>
        <v>6289248.4911697721</v>
      </c>
      <c r="K538" s="1">
        <f t="shared" si="35"/>
        <v>6738480.5262533277</v>
      </c>
    </row>
    <row r="539" spans="1:11" x14ac:dyDescent="0.25">
      <c r="A539" t="s">
        <v>528</v>
      </c>
      <c r="B539" t="s">
        <v>578</v>
      </c>
      <c r="C539" t="s">
        <v>585</v>
      </c>
      <c r="D539" s="1">
        <v>4918109</v>
      </c>
      <c r="E539" s="1">
        <f t="shared" si="33"/>
        <v>5368273.3822046043</v>
      </c>
      <c r="F539" s="1">
        <f t="shared" si="34"/>
        <v>6135169.579662405</v>
      </c>
      <c r="G539" s="1">
        <f t="shared" si="34"/>
        <v>6748686.5376286441</v>
      </c>
      <c r="H539" s="1">
        <f t="shared" si="34"/>
        <v>7362203.4955948852</v>
      </c>
      <c r="I539" s="1">
        <f t="shared" si="34"/>
        <v>7975720.4535611263</v>
      </c>
      <c r="J539" s="1">
        <f t="shared" si="35"/>
        <v>8589237.4115273654</v>
      </c>
      <c r="K539" s="1">
        <f t="shared" si="35"/>
        <v>9202754.3694936074</v>
      </c>
    </row>
    <row r="540" spans="1:11" x14ac:dyDescent="0.25">
      <c r="A540" t="s">
        <v>528</v>
      </c>
      <c r="B540" t="s">
        <v>578</v>
      </c>
      <c r="C540" t="s">
        <v>586</v>
      </c>
      <c r="D540" s="1">
        <v>9350559</v>
      </c>
      <c r="E540" s="1">
        <f t="shared" si="33"/>
        <v>10206434.421936095</v>
      </c>
      <c r="F540" s="1">
        <f t="shared" si="34"/>
        <v>11664496.482212679</v>
      </c>
      <c r="G540" s="1">
        <f t="shared" si="34"/>
        <v>12830946.130433945</v>
      </c>
      <c r="H540" s="1">
        <f t="shared" si="34"/>
        <v>13997395.778655214</v>
      </c>
      <c r="I540" s="1">
        <f t="shared" si="34"/>
        <v>15163845.426876483</v>
      </c>
      <c r="J540" s="1">
        <f t="shared" si="35"/>
        <v>16330295.075097749</v>
      </c>
      <c r="K540" s="1">
        <f t="shared" si="35"/>
        <v>17496744.723319016</v>
      </c>
    </row>
    <row r="541" spans="1:11" x14ac:dyDescent="0.25">
      <c r="A541" t="s">
        <v>528</v>
      </c>
      <c r="B541" t="s">
        <v>578</v>
      </c>
      <c r="C541" t="s">
        <v>587</v>
      </c>
      <c r="D541" s="1">
        <v>6469649</v>
      </c>
      <c r="E541" s="1">
        <f t="shared" si="33"/>
        <v>7061828.9507017098</v>
      </c>
      <c r="F541" s="1">
        <f t="shared" si="34"/>
        <v>8070661.6579448115</v>
      </c>
      <c r="G541" s="1">
        <f t="shared" si="34"/>
        <v>8877727.8237392921</v>
      </c>
      <c r="H541" s="1">
        <f t="shared" si="34"/>
        <v>9684793.9895337727</v>
      </c>
      <c r="I541" s="1">
        <f t="shared" si="34"/>
        <v>10491860.155328255</v>
      </c>
      <c r="J541" s="1">
        <f t="shared" si="35"/>
        <v>11298926.321122734</v>
      </c>
      <c r="K541" s="1">
        <f t="shared" si="35"/>
        <v>12105992.486917216</v>
      </c>
    </row>
    <row r="542" spans="1:11" x14ac:dyDescent="0.25">
      <c r="A542" t="s">
        <v>528</v>
      </c>
      <c r="B542" t="s">
        <v>578</v>
      </c>
      <c r="C542" t="s">
        <v>588</v>
      </c>
      <c r="D542" s="1">
        <v>2763179</v>
      </c>
      <c r="E542" s="1">
        <f t="shared" si="33"/>
        <v>3016098.3166429894</v>
      </c>
      <c r="F542" s="1">
        <f t="shared" si="34"/>
        <v>3446969.5047348449</v>
      </c>
      <c r="G542" s="1">
        <f t="shared" si="34"/>
        <v>3791666.455208329</v>
      </c>
      <c r="H542" s="1">
        <f t="shared" si="34"/>
        <v>4136363.4056818141</v>
      </c>
      <c r="I542" s="1">
        <f t="shared" si="34"/>
        <v>4481060.3561552987</v>
      </c>
      <c r="J542" s="1">
        <f t="shared" si="35"/>
        <v>4825757.3066287823</v>
      </c>
      <c r="K542" s="1">
        <f t="shared" si="35"/>
        <v>5170454.2571022669</v>
      </c>
    </row>
    <row r="543" spans="1:11" x14ac:dyDescent="0.25">
      <c r="A543" t="s">
        <v>528</v>
      </c>
      <c r="B543" t="s">
        <v>578</v>
      </c>
      <c r="C543" t="s">
        <v>589</v>
      </c>
      <c r="D543" s="1">
        <v>5451989</v>
      </c>
      <c r="E543" s="1">
        <f t="shared" si="33"/>
        <v>5951020.4895361811</v>
      </c>
      <c r="F543" s="1">
        <f t="shared" si="34"/>
        <v>6801166.2737556351</v>
      </c>
      <c r="G543" s="1">
        <f t="shared" si="34"/>
        <v>7481282.9011311978</v>
      </c>
      <c r="H543" s="1">
        <f t="shared" si="34"/>
        <v>8161399.5285067623</v>
      </c>
      <c r="I543" s="1">
        <f t="shared" si="34"/>
        <v>8841516.1558823269</v>
      </c>
      <c r="J543" s="1">
        <f t="shared" si="35"/>
        <v>9521632.7832578886</v>
      </c>
      <c r="K543" s="1">
        <f t="shared" si="35"/>
        <v>10201749.410633452</v>
      </c>
    </row>
    <row r="544" spans="1:11" x14ac:dyDescent="0.25">
      <c r="A544" t="s">
        <v>528</v>
      </c>
      <c r="B544" t="s">
        <v>578</v>
      </c>
      <c r="C544" t="s">
        <v>590</v>
      </c>
      <c r="D544" s="1">
        <v>6719646</v>
      </c>
      <c r="E544" s="1">
        <f t="shared" si="33"/>
        <v>7334708.677590847</v>
      </c>
      <c r="F544" s="1">
        <f t="shared" si="34"/>
        <v>8382524.2029609671</v>
      </c>
      <c r="G544" s="1">
        <f t="shared" si="34"/>
        <v>9220776.6232570633</v>
      </c>
      <c r="H544" s="1">
        <f t="shared" si="34"/>
        <v>10059029.043553161</v>
      </c>
      <c r="I544" s="1">
        <f t="shared" si="34"/>
        <v>10897281.463849258</v>
      </c>
      <c r="J544" s="1">
        <f t="shared" si="35"/>
        <v>11735533.884145353</v>
      </c>
      <c r="K544" s="1">
        <f t="shared" si="35"/>
        <v>12573786.30444145</v>
      </c>
    </row>
    <row r="545" spans="1:11" x14ac:dyDescent="0.25">
      <c r="A545" t="s">
        <v>528</v>
      </c>
      <c r="B545" t="s">
        <v>578</v>
      </c>
      <c r="C545" t="s">
        <v>591</v>
      </c>
      <c r="D545" s="1">
        <v>10673691</v>
      </c>
      <c r="E545" s="1">
        <f t="shared" si="33"/>
        <v>11650675.348020315</v>
      </c>
      <c r="F545" s="1">
        <f t="shared" si="34"/>
        <v>13315057.540594647</v>
      </c>
      <c r="G545" s="1">
        <f t="shared" si="34"/>
        <v>14646563.294654109</v>
      </c>
      <c r="H545" s="1">
        <f t="shared" si="34"/>
        <v>15978069.048713574</v>
      </c>
      <c r="I545" s="1">
        <f t="shared" si="34"/>
        <v>17309574.80277304</v>
      </c>
      <c r="J545" s="1">
        <f t="shared" si="35"/>
        <v>18641080.556832504</v>
      </c>
      <c r="K545" s="1">
        <f t="shared" si="35"/>
        <v>19972586.310891967</v>
      </c>
    </row>
    <row r="546" spans="1:11" x14ac:dyDescent="0.25">
      <c r="A546" t="s">
        <v>528</v>
      </c>
      <c r="B546" t="s">
        <v>578</v>
      </c>
      <c r="C546" t="s">
        <v>592</v>
      </c>
      <c r="D546" s="1">
        <v>5647307</v>
      </c>
      <c r="E546" s="1">
        <f t="shared" si="33"/>
        <v>6164216.3378724912</v>
      </c>
      <c r="F546" s="1">
        <f t="shared" si="34"/>
        <v>7044818.6718542753</v>
      </c>
      <c r="G546" s="1">
        <f t="shared" si="34"/>
        <v>7749300.5390397012</v>
      </c>
      <c r="H546" s="1">
        <f t="shared" si="34"/>
        <v>8453782.40622513</v>
      </c>
      <c r="I546" s="1">
        <f t="shared" si="34"/>
        <v>9158264.2734105568</v>
      </c>
      <c r="J546" s="1">
        <f t="shared" si="35"/>
        <v>9862746.1405959837</v>
      </c>
      <c r="K546" s="1">
        <f t="shared" si="35"/>
        <v>10567228.007781412</v>
      </c>
    </row>
    <row r="547" spans="1:11" x14ac:dyDescent="0.25">
      <c r="A547" t="s">
        <v>528</v>
      </c>
      <c r="B547" t="s">
        <v>593</v>
      </c>
      <c r="C547" t="s">
        <v>594</v>
      </c>
      <c r="D547" s="1">
        <v>5219885</v>
      </c>
      <c r="E547" s="1">
        <f t="shared" si="33"/>
        <v>5697671.5448293397</v>
      </c>
      <c r="F547" s="1">
        <f t="shared" si="34"/>
        <v>6511624.6226621028</v>
      </c>
      <c r="G547" s="1">
        <f t="shared" si="34"/>
        <v>7162787.0849283123</v>
      </c>
      <c r="H547" s="1">
        <f t="shared" si="34"/>
        <v>7813949.5471945228</v>
      </c>
      <c r="I547" s="1">
        <f t="shared" si="34"/>
        <v>8465112.0094607342</v>
      </c>
      <c r="J547" s="1">
        <f t="shared" si="35"/>
        <v>9116274.4717269428</v>
      </c>
      <c r="K547" s="1">
        <f t="shared" si="35"/>
        <v>9767436.9339931533</v>
      </c>
    </row>
    <row r="548" spans="1:11" x14ac:dyDescent="0.25">
      <c r="A548" t="s">
        <v>528</v>
      </c>
      <c r="B548" t="s">
        <v>593</v>
      </c>
      <c r="C548" t="s">
        <v>595</v>
      </c>
      <c r="D548" s="1">
        <v>3693790</v>
      </c>
      <c r="E548" s="1">
        <f t="shared" si="33"/>
        <v>4031890.0082233935</v>
      </c>
      <c r="F548" s="1">
        <f t="shared" si="34"/>
        <v>4607874.2951124497</v>
      </c>
      <c r="G548" s="1">
        <f t="shared" si="34"/>
        <v>5068661.7246236941</v>
      </c>
      <c r="H548" s="1">
        <f t="shared" si="34"/>
        <v>5529449.1541349394</v>
      </c>
      <c r="I548" s="1">
        <f t="shared" si="34"/>
        <v>5990236.5836461848</v>
      </c>
      <c r="J548" s="1">
        <f t="shared" si="35"/>
        <v>6451024.0131574292</v>
      </c>
      <c r="K548" s="1">
        <f t="shared" si="35"/>
        <v>6911811.4426686736</v>
      </c>
    </row>
    <row r="549" spans="1:11" x14ac:dyDescent="0.25">
      <c r="A549" t="s">
        <v>528</v>
      </c>
      <c r="B549" t="s">
        <v>593</v>
      </c>
      <c r="C549" t="s">
        <v>596</v>
      </c>
      <c r="D549" s="1">
        <v>5404337</v>
      </c>
      <c r="E549" s="1">
        <f t="shared" si="33"/>
        <v>5899006.806389099</v>
      </c>
      <c r="F549" s="1">
        <f t="shared" si="34"/>
        <v>6741722.0644446844</v>
      </c>
      <c r="G549" s="1">
        <f t="shared" si="34"/>
        <v>7415894.2708891518</v>
      </c>
      <c r="H549" s="1">
        <f t="shared" si="34"/>
        <v>8090066.4773336211</v>
      </c>
      <c r="I549" s="1">
        <f t="shared" si="34"/>
        <v>8764238.6837780904</v>
      </c>
      <c r="J549" s="1">
        <f t="shared" si="35"/>
        <v>9438410.8902225569</v>
      </c>
      <c r="K549" s="1">
        <f t="shared" si="35"/>
        <v>10112583.096667025</v>
      </c>
    </row>
    <row r="550" spans="1:11" x14ac:dyDescent="0.25">
      <c r="A550" t="s">
        <v>528</v>
      </c>
      <c r="B550" t="s">
        <v>593</v>
      </c>
      <c r="C550" t="s">
        <v>597</v>
      </c>
      <c r="D550" s="1">
        <v>5657212</v>
      </c>
      <c r="E550" s="1">
        <f t="shared" si="33"/>
        <v>6175027.9623913327</v>
      </c>
      <c r="F550" s="1">
        <f t="shared" si="34"/>
        <v>7057174.8141615232</v>
      </c>
      <c r="G550" s="1">
        <f t="shared" si="34"/>
        <v>7762892.2955776742</v>
      </c>
      <c r="H550" s="1">
        <f t="shared" si="34"/>
        <v>8468609.776993826</v>
      </c>
      <c r="I550" s="1">
        <f t="shared" si="34"/>
        <v>9174327.2584099788</v>
      </c>
      <c r="J550" s="1">
        <f t="shared" si="35"/>
        <v>9880044.7398261316</v>
      </c>
      <c r="K550" s="1">
        <f t="shared" si="35"/>
        <v>10585762.221242284</v>
      </c>
    </row>
    <row r="551" spans="1:11" x14ac:dyDescent="0.25">
      <c r="A551" t="s">
        <v>528</v>
      </c>
      <c r="B551" t="s">
        <v>593</v>
      </c>
      <c r="C551" t="s">
        <v>598</v>
      </c>
      <c r="D551" s="1">
        <v>7996246</v>
      </c>
      <c r="E551" s="1">
        <f t="shared" si="33"/>
        <v>8728158.4363746382</v>
      </c>
      <c r="F551" s="1">
        <f t="shared" si="34"/>
        <v>9975038.2129995879</v>
      </c>
      <c r="G551" s="1">
        <f t="shared" si="34"/>
        <v>10972542.034299545</v>
      </c>
      <c r="H551" s="1">
        <f t="shared" si="34"/>
        <v>11970045.855599504</v>
      </c>
      <c r="I551" s="1">
        <f t="shared" si="34"/>
        <v>12967549.676899463</v>
      </c>
      <c r="J551" s="1">
        <f t="shared" si="35"/>
        <v>13965053.49819942</v>
      </c>
      <c r="K551" s="1">
        <f t="shared" si="35"/>
        <v>14962557.319499379</v>
      </c>
    </row>
    <row r="552" spans="1:11" x14ac:dyDescent="0.25">
      <c r="A552" t="s">
        <v>528</v>
      </c>
      <c r="B552" t="s">
        <v>593</v>
      </c>
      <c r="C552" t="s">
        <v>599</v>
      </c>
      <c r="D552" s="1">
        <v>6766822</v>
      </c>
      <c r="E552" s="1">
        <f t="shared" si="33"/>
        <v>7386202.7915031016</v>
      </c>
      <c r="F552" s="1">
        <f t="shared" si="34"/>
        <v>8441374.6188606862</v>
      </c>
      <c r="G552" s="1">
        <f t="shared" si="34"/>
        <v>9285512.080746755</v>
      </c>
      <c r="H552" s="1">
        <f t="shared" si="34"/>
        <v>10129649.542632824</v>
      </c>
      <c r="I552" s="1">
        <f t="shared" si="34"/>
        <v>10973787.004518893</v>
      </c>
      <c r="J552" s="1">
        <f t="shared" si="35"/>
        <v>11817924.46640496</v>
      </c>
      <c r="K552" s="1">
        <f t="shared" si="35"/>
        <v>12662061.92829103</v>
      </c>
    </row>
    <row r="553" spans="1:11" x14ac:dyDescent="0.25">
      <c r="A553" t="s">
        <v>528</v>
      </c>
      <c r="B553" t="s">
        <v>593</v>
      </c>
      <c r="C553" t="s">
        <v>600</v>
      </c>
      <c r="D553" s="1">
        <v>3960499</v>
      </c>
      <c r="E553" s="1">
        <f t="shared" si="33"/>
        <v>4323011.4179958096</v>
      </c>
      <c r="F553" s="1">
        <f t="shared" si="34"/>
        <v>4940584.4777094964</v>
      </c>
      <c r="G553" s="1">
        <f t="shared" si="34"/>
        <v>5434642.9254804458</v>
      </c>
      <c r="H553" s="1">
        <f t="shared" si="34"/>
        <v>5928701.3732513953</v>
      </c>
      <c r="I553" s="1">
        <f t="shared" si="34"/>
        <v>6422759.8210223457</v>
      </c>
      <c r="J553" s="1">
        <f t="shared" si="35"/>
        <v>6916818.2687932942</v>
      </c>
      <c r="K553" s="1">
        <f t="shared" si="35"/>
        <v>7410876.7165642446</v>
      </c>
    </row>
    <row r="554" spans="1:11" x14ac:dyDescent="0.25">
      <c r="A554" t="s">
        <v>528</v>
      </c>
      <c r="B554" t="s">
        <v>593</v>
      </c>
      <c r="C554" t="s">
        <v>601</v>
      </c>
      <c r="D554" s="1">
        <v>2567581</v>
      </c>
      <c r="E554" s="1">
        <f t="shared" si="33"/>
        <v>2802596.8393450165</v>
      </c>
      <c r="F554" s="1">
        <f t="shared" si="34"/>
        <v>3202967.8163943049</v>
      </c>
      <c r="G554" s="1">
        <f t="shared" si="34"/>
        <v>3523264.5980337346</v>
      </c>
      <c r="H554" s="1">
        <f t="shared" si="34"/>
        <v>3843561.3796731653</v>
      </c>
      <c r="I554" s="1">
        <f t="shared" si="34"/>
        <v>4163858.1613125959</v>
      </c>
      <c r="J554" s="1">
        <f t="shared" si="35"/>
        <v>4484154.9429520257</v>
      </c>
      <c r="K554" s="1">
        <f t="shared" si="35"/>
        <v>4804451.7245914564</v>
      </c>
    </row>
    <row r="555" spans="1:11" x14ac:dyDescent="0.25">
      <c r="A555" t="s">
        <v>528</v>
      </c>
      <c r="B555" t="s">
        <v>593</v>
      </c>
      <c r="C555" t="s">
        <v>602</v>
      </c>
      <c r="D555" s="1">
        <v>5545811</v>
      </c>
      <c r="E555" s="1">
        <f t="shared" si="33"/>
        <v>6053430.2053975416</v>
      </c>
      <c r="F555" s="1">
        <f t="shared" si="34"/>
        <v>6918205.9490257623</v>
      </c>
      <c r="G555" s="1">
        <f t="shared" si="34"/>
        <v>7610026.5439283373</v>
      </c>
      <c r="H555" s="1">
        <f t="shared" si="34"/>
        <v>8301847.1388309142</v>
      </c>
      <c r="I555" s="1">
        <f t="shared" si="34"/>
        <v>8993667.7337334901</v>
      </c>
      <c r="J555" s="1">
        <f t="shared" si="35"/>
        <v>9685488.3286360651</v>
      </c>
      <c r="K555" s="1">
        <f t="shared" si="35"/>
        <v>10377308.923538642</v>
      </c>
    </row>
    <row r="556" spans="1:11" x14ac:dyDescent="0.25">
      <c r="A556" t="s">
        <v>528</v>
      </c>
      <c r="B556" t="s">
        <v>593</v>
      </c>
      <c r="C556" t="s">
        <v>603</v>
      </c>
      <c r="D556" s="1">
        <v>4082179</v>
      </c>
      <c r="E556" s="1">
        <f t="shared" si="33"/>
        <v>4455829.0324786641</v>
      </c>
      <c r="F556" s="1">
        <f t="shared" si="34"/>
        <v>5092376.0371184731</v>
      </c>
      <c r="G556" s="1">
        <f t="shared" si="34"/>
        <v>5601613.6408303194</v>
      </c>
      <c r="H556" s="1">
        <f t="shared" si="34"/>
        <v>6110851.2445421675</v>
      </c>
      <c r="I556" s="1">
        <f t="shared" si="34"/>
        <v>6620088.8482540147</v>
      </c>
      <c r="J556" s="1">
        <f t="shared" si="35"/>
        <v>7129326.451965862</v>
      </c>
      <c r="K556" s="1">
        <f t="shared" si="35"/>
        <v>7638564.0556777092</v>
      </c>
    </row>
    <row r="557" spans="1:11" x14ac:dyDescent="0.25">
      <c r="A557" t="s">
        <v>528</v>
      </c>
      <c r="B557" t="s">
        <v>593</v>
      </c>
      <c r="C557" t="s">
        <v>604</v>
      </c>
      <c r="D557" s="1">
        <v>7622451</v>
      </c>
      <c r="E557" s="1">
        <f t="shared" si="33"/>
        <v>8320149.2302140659</v>
      </c>
      <c r="F557" s="1">
        <f t="shared" si="34"/>
        <v>9508741.9773875028</v>
      </c>
      <c r="G557" s="1">
        <f t="shared" si="34"/>
        <v>10459616.175126253</v>
      </c>
      <c r="H557" s="1">
        <f t="shared" si="34"/>
        <v>11410490.372865004</v>
      </c>
      <c r="I557" s="1">
        <f t="shared" si="34"/>
        <v>12361364.570603754</v>
      </c>
      <c r="J557" s="1">
        <f t="shared" si="35"/>
        <v>13312238.768342504</v>
      </c>
      <c r="K557" s="1">
        <f t="shared" si="35"/>
        <v>14263112.966081254</v>
      </c>
    </row>
    <row r="558" spans="1:11" x14ac:dyDescent="0.25">
      <c r="A558" t="s">
        <v>528</v>
      </c>
      <c r="B558" t="s">
        <v>593</v>
      </c>
      <c r="C558" t="s">
        <v>605</v>
      </c>
      <c r="D558" s="1">
        <v>6581905</v>
      </c>
      <c r="E558" s="1">
        <f t="shared" si="33"/>
        <v>7184359.96756058</v>
      </c>
      <c r="F558" s="1">
        <f t="shared" si="34"/>
        <v>8210697.1057835203</v>
      </c>
      <c r="G558" s="1">
        <f t="shared" si="34"/>
        <v>9031766.8163618706</v>
      </c>
      <c r="H558" s="1">
        <f t="shared" si="34"/>
        <v>9852836.5269402228</v>
      </c>
      <c r="I558" s="1">
        <f t="shared" si="34"/>
        <v>10673906.237518575</v>
      </c>
      <c r="J558" s="1">
        <f t="shared" si="35"/>
        <v>11494975.948096927</v>
      </c>
      <c r="K558" s="1">
        <f t="shared" si="35"/>
        <v>12316045.658675279</v>
      </c>
    </row>
    <row r="559" spans="1:11" x14ac:dyDescent="0.25">
      <c r="A559" t="s">
        <v>528</v>
      </c>
      <c r="B559" t="s">
        <v>593</v>
      </c>
      <c r="C559" t="s">
        <v>606</v>
      </c>
      <c r="D559" s="1">
        <v>8968869</v>
      </c>
      <c r="E559" s="1">
        <f t="shared" si="33"/>
        <v>9789807.5705886204</v>
      </c>
      <c r="F559" s="1">
        <f t="shared" si="34"/>
        <v>11188351.509244137</v>
      </c>
      <c r="G559" s="1">
        <f t="shared" si="34"/>
        <v>12307186.660168549</v>
      </c>
      <c r="H559" s="1">
        <f t="shared" si="34"/>
        <v>13426021.811092963</v>
      </c>
      <c r="I559" s="1">
        <f t="shared" si="34"/>
        <v>14544856.962017378</v>
      </c>
      <c r="J559" s="1">
        <f t="shared" si="35"/>
        <v>15663692.11294179</v>
      </c>
      <c r="K559" s="1">
        <f t="shared" si="35"/>
        <v>16782527.263866205</v>
      </c>
    </row>
    <row r="560" spans="1:11" x14ac:dyDescent="0.25">
      <c r="A560" t="s">
        <v>528</v>
      </c>
      <c r="B560" t="s">
        <v>593</v>
      </c>
      <c r="C560" t="s">
        <v>607</v>
      </c>
      <c r="D560" s="1">
        <v>6187132</v>
      </c>
      <c r="E560" s="1">
        <f t="shared" si="33"/>
        <v>6753452.6029793844</v>
      </c>
      <c r="F560" s="1">
        <f t="shared" si="34"/>
        <v>7718231.5462621534</v>
      </c>
      <c r="G560" s="1">
        <f t="shared" si="34"/>
        <v>8490054.7008883674</v>
      </c>
      <c r="H560" s="1">
        <f t="shared" si="34"/>
        <v>9261877.8555145841</v>
      </c>
      <c r="I560" s="1">
        <f t="shared" si="34"/>
        <v>10033701.010140799</v>
      </c>
      <c r="J560" s="1">
        <f t="shared" si="35"/>
        <v>10805524.164767014</v>
      </c>
      <c r="K560" s="1">
        <f t="shared" si="35"/>
        <v>11577347.319393231</v>
      </c>
    </row>
    <row r="561" spans="1:11" x14ac:dyDescent="0.25">
      <c r="A561" t="s">
        <v>685</v>
      </c>
      <c r="B561" t="s">
        <v>727</v>
      </c>
      <c r="C561" t="s">
        <v>610</v>
      </c>
      <c r="D561" s="1">
        <v>2854968</v>
      </c>
      <c r="E561" s="1">
        <f t="shared" si="33"/>
        <v>3116288.9479362727</v>
      </c>
      <c r="F561" s="1">
        <f t="shared" si="34"/>
        <v>3561473.0833557402</v>
      </c>
      <c r="G561" s="1">
        <f t="shared" si="34"/>
        <v>3917620.3916913141</v>
      </c>
      <c r="H561" s="1">
        <f t="shared" si="34"/>
        <v>4273767.7000268884</v>
      </c>
      <c r="I561" s="1">
        <f t="shared" si="34"/>
        <v>4629915.0083624627</v>
      </c>
      <c r="J561" s="1">
        <f t="shared" si="35"/>
        <v>4986062.3166980362</v>
      </c>
      <c r="K561" s="1">
        <f t="shared" si="35"/>
        <v>5342209.6250336105</v>
      </c>
    </row>
    <row r="562" spans="1:11" x14ac:dyDescent="0.25">
      <c r="A562" t="s">
        <v>685</v>
      </c>
      <c r="B562" t="s">
        <v>727</v>
      </c>
      <c r="C562" t="s">
        <v>611</v>
      </c>
      <c r="D562" s="1">
        <v>9965390</v>
      </c>
      <c r="E562" s="1">
        <f t="shared" si="33"/>
        <v>10877542.136680569</v>
      </c>
      <c r="F562" s="1">
        <f t="shared" si="34"/>
        <v>12431476.727634937</v>
      </c>
      <c r="G562" s="1">
        <f t="shared" si="34"/>
        <v>13674624.400398429</v>
      </c>
      <c r="H562" s="1">
        <f t="shared" si="34"/>
        <v>14917772.073161924</v>
      </c>
      <c r="I562" s="1">
        <f t="shared" si="34"/>
        <v>16160919.745925417</v>
      </c>
      <c r="J562" s="1">
        <f t="shared" si="35"/>
        <v>17404067.418688912</v>
      </c>
      <c r="K562" s="1">
        <f t="shared" si="35"/>
        <v>18647215.091452405</v>
      </c>
    </row>
    <row r="563" spans="1:11" x14ac:dyDescent="0.25">
      <c r="A563" t="s">
        <v>608</v>
      </c>
      <c r="B563" t="s">
        <v>770</v>
      </c>
      <c r="C563" t="s">
        <v>612</v>
      </c>
      <c r="D563" s="1">
        <v>7782550</v>
      </c>
      <c r="E563" s="1">
        <f t="shared" si="33"/>
        <v>8494902.4128331523</v>
      </c>
      <c r="F563" s="1">
        <f t="shared" si="34"/>
        <v>9708459.9003807455</v>
      </c>
      <c r="G563" s="1">
        <f t="shared" si="34"/>
        <v>10679305.890418818</v>
      </c>
      <c r="H563" s="1">
        <f t="shared" si="34"/>
        <v>11650151.880456895</v>
      </c>
      <c r="I563" s="1">
        <f t="shared" si="34"/>
        <v>12620997.870494969</v>
      </c>
      <c r="J563" s="1">
        <f t="shared" si="35"/>
        <v>13591843.860533042</v>
      </c>
      <c r="K563" s="1">
        <f t="shared" si="35"/>
        <v>14562689.850571118</v>
      </c>
    </row>
    <row r="564" spans="1:11" x14ac:dyDescent="0.25">
      <c r="A564" t="s">
        <v>685</v>
      </c>
      <c r="B564" t="s">
        <v>727</v>
      </c>
      <c r="C564" t="s">
        <v>613</v>
      </c>
      <c r="D564" s="1">
        <v>2569445</v>
      </c>
      <c r="E564" s="1">
        <f t="shared" si="33"/>
        <v>2804631.45500409</v>
      </c>
      <c r="F564" s="1">
        <f t="shared" si="34"/>
        <v>3205293.0914332457</v>
      </c>
      <c r="G564" s="1">
        <f t="shared" si="34"/>
        <v>3525822.4005765696</v>
      </c>
      <c r="H564" s="1">
        <f t="shared" si="34"/>
        <v>3846351.7097198945</v>
      </c>
      <c r="I564" s="1">
        <f t="shared" si="34"/>
        <v>4166881.0188632193</v>
      </c>
      <c r="J564" s="1">
        <f t="shared" si="35"/>
        <v>4487410.3280065432</v>
      </c>
      <c r="K564" s="1">
        <f t="shared" si="35"/>
        <v>4807939.6371498676</v>
      </c>
    </row>
    <row r="565" spans="1:11" x14ac:dyDescent="0.25">
      <c r="A565" t="s">
        <v>608</v>
      </c>
      <c r="B565" t="s">
        <v>770</v>
      </c>
      <c r="C565" t="s">
        <v>614</v>
      </c>
      <c r="D565" s="1">
        <v>2912824</v>
      </c>
      <c r="E565" s="1">
        <f t="shared" si="33"/>
        <v>3179440.6236719731</v>
      </c>
      <c r="F565" s="1">
        <f t="shared" si="34"/>
        <v>3633646.4270536834</v>
      </c>
      <c r="G565" s="1">
        <f t="shared" si="34"/>
        <v>3997011.0697590513</v>
      </c>
      <c r="H565" s="1">
        <f t="shared" si="34"/>
        <v>4360375.7124644201</v>
      </c>
      <c r="I565" s="1">
        <f t="shared" si="34"/>
        <v>4723740.3551697889</v>
      </c>
      <c r="J565" s="1">
        <f t="shared" si="35"/>
        <v>5087104.9978751568</v>
      </c>
      <c r="K565" s="1">
        <f t="shared" si="35"/>
        <v>5450469.6405805247</v>
      </c>
    </row>
    <row r="566" spans="1:11" x14ac:dyDescent="0.25">
      <c r="A566" t="s">
        <v>608</v>
      </c>
      <c r="B566" t="s">
        <v>770</v>
      </c>
      <c r="C566" t="s">
        <v>615</v>
      </c>
      <c r="D566" s="1">
        <v>7893039</v>
      </c>
      <c r="E566" s="1">
        <f t="shared" si="33"/>
        <v>8615504.6926375255</v>
      </c>
      <c r="F566" s="1">
        <f t="shared" si="34"/>
        <v>9846291.0773000289</v>
      </c>
      <c r="G566" s="1">
        <f t="shared" si="34"/>
        <v>10830920.18503003</v>
      </c>
      <c r="H566" s="1">
        <f t="shared" si="34"/>
        <v>11815549.292760035</v>
      </c>
      <c r="I566" s="1">
        <f t="shared" si="34"/>
        <v>12800178.400490038</v>
      </c>
      <c r="J566" s="1">
        <f t="shared" si="35"/>
        <v>13784807.508220039</v>
      </c>
      <c r="K566" s="1">
        <f t="shared" si="35"/>
        <v>14769436.615950042</v>
      </c>
    </row>
    <row r="567" spans="1:11" x14ac:dyDescent="0.25">
      <c r="A567" t="s">
        <v>608</v>
      </c>
      <c r="B567" t="s">
        <v>770</v>
      </c>
      <c r="C567" t="s">
        <v>616</v>
      </c>
      <c r="D567" s="1">
        <v>2146958</v>
      </c>
      <c r="E567" s="1">
        <f t="shared" si="33"/>
        <v>2343473.3724102564</v>
      </c>
      <c r="F567" s="1">
        <f t="shared" si="34"/>
        <v>2678255.2827545786</v>
      </c>
      <c r="G567" s="1">
        <f t="shared" si="34"/>
        <v>2946080.8110300358</v>
      </c>
      <c r="H567" s="1">
        <f t="shared" si="34"/>
        <v>3213906.339305494</v>
      </c>
      <c r="I567" s="1">
        <f t="shared" si="34"/>
        <v>3481731.8675809521</v>
      </c>
      <c r="J567" s="1">
        <f t="shared" si="35"/>
        <v>3749557.3958564093</v>
      </c>
      <c r="K567" s="1">
        <f t="shared" si="35"/>
        <v>4017382.9241318675</v>
      </c>
    </row>
    <row r="568" spans="1:11" x14ac:dyDescent="0.25">
      <c r="A568" t="s">
        <v>608</v>
      </c>
      <c r="B568" t="s">
        <v>770</v>
      </c>
      <c r="C568" t="s">
        <v>617</v>
      </c>
      <c r="D568" s="1">
        <v>3251753</v>
      </c>
      <c r="E568" s="1">
        <f t="shared" si="33"/>
        <v>3549392.4749134206</v>
      </c>
      <c r="F568" s="1">
        <f t="shared" si="34"/>
        <v>4056448.5427581952</v>
      </c>
      <c r="G568" s="1">
        <f t="shared" si="34"/>
        <v>4462093.3970340136</v>
      </c>
      <c r="H568" s="1">
        <f t="shared" si="34"/>
        <v>4867738.2513098335</v>
      </c>
      <c r="I568" s="1">
        <f t="shared" si="34"/>
        <v>5273383.1055856533</v>
      </c>
      <c r="J568" s="1">
        <f t="shared" si="35"/>
        <v>5679027.9598614722</v>
      </c>
      <c r="K568" s="1">
        <f t="shared" si="35"/>
        <v>6084672.8141372921</v>
      </c>
    </row>
    <row r="569" spans="1:11" x14ac:dyDescent="0.25">
      <c r="A569" t="s">
        <v>608</v>
      </c>
      <c r="B569" t="s">
        <v>770</v>
      </c>
      <c r="C569" t="s">
        <v>618</v>
      </c>
      <c r="D569" s="1">
        <v>12139144</v>
      </c>
      <c r="E569" s="1">
        <f t="shared" si="33"/>
        <v>13250264.200722011</v>
      </c>
      <c r="F569" s="1">
        <f t="shared" si="34"/>
        <v>15143159.086539442</v>
      </c>
      <c r="G569" s="1">
        <f t="shared" si="34"/>
        <v>16657474.995193383</v>
      </c>
      <c r="H569" s="1">
        <f t="shared" si="34"/>
        <v>18171790.903847329</v>
      </c>
      <c r="I569" s="1">
        <f t="shared" si="34"/>
        <v>19686106.812501274</v>
      </c>
      <c r="J569" s="1">
        <f t="shared" si="35"/>
        <v>21200422.721155215</v>
      </c>
      <c r="K569" s="1">
        <f t="shared" si="35"/>
        <v>22714738.62980916</v>
      </c>
    </row>
    <row r="570" spans="1:11" x14ac:dyDescent="0.25">
      <c r="A570" t="s">
        <v>685</v>
      </c>
      <c r="B570" t="s">
        <v>727</v>
      </c>
      <c r="C570" t="s">
        <v>619</v>
      </c>
      <c r="D570" s="1">
        <v>2352837</v>
      </c>
      <c r="E570" s="1">
        <f t="shared" si="33"/>
        <v>2568196.8902613046</v>
      </c>
      <c r="F570" s="1">
        <f t="shared" si="34"/>
        <v>2935082.1602986339</v>
      </c>
      <c r="G570" s="1">
        <f t="shared" si="34"/>
        <v>3228590.3763284967</v>
      </c>
      <c r="H570" s="1">
        <f t="shared" si="34"/>
        <v>3522098.5923583605</v>
      </c>
      <c r="I570" s="1">
        <f t="shared" si="34"/>
        <v>3815606.8083882239</v>
      </c>
      <c r="J570" s="1">
        <f t="shared" si="35"/>
        <v>4109115.0244180867</v>
      </c>
      <c r="K570" s="1">
        <f t="shared" si="35"/>
        <v>4402623.2404479505</v>
      </c>
    </row>
    <row r="571" spans="1:11" x14ac:dyDescent="0.25">
      <c r="A571" t="s">
        <v>608</v>
      </c>
      <c r="B571" t="s">
        <v>770</v>
      </c>
      <c r="C571" t="s">
        <v>621</v>
      </c>
      <c r="D571" s="1">
        <v>4701627</v>
      </c>
      <c r="E571" s="1">
        <f t="shared" si="33"/>
        <v>5131976.3504945673</v>
      </c>
      <c r="F571" s="1">
        <f t="shared" si="34"/>
        <v>5865115.8291366482</v>
      </c>
      <c r="G571" s="1">
        <f t="shared" si="34"/>
        <v>6451627.4120503124</v>
      </c>
      <c r="H571" s="1">
        <f t="shared" si="34"/>
        <v>7038138.9949639775</v>
      </c>
      <c r="I571" s="1">
        <f t="shared" si="34"/>
        <v>7624650.5778776426</v>
      </c>
      <c r="J571" s="1">
        <f t="shared" si="35"/>
        <v>8211162.1607913068</v>
      </c>
      <c r="K571" s="1">
        <f t="shared" si="35"/>
        <v>8797673.7437049728</v>
      </c>
    </row>
    <row r="572" spans="1:11" x14ac:dyDescent="0.25">
      <c r="A572" t="s">
        <v>82</v>
      </c>
      <c r="B572" t="s">
        <v>126</v>
      </c>
      <c r="C572" t="s">
        <v>622</v>
      </c>
      <c r="D572" s="1">
        <v>3723218</v>
      </c>
      <c r="E572" s="1">
        <f t="shared" si="33"/>
        <v>4064011.6120942142</v>
      </c>
      <c r="F572" s="1">
        <f t="shared" si="34"/>
        <v>4644584.6995362444</v>
      </c>
      <c r="G572" s="1">
        <f t="shared" si="34"/>
        <v>5109043.169489868</v>
      </c>
      <c r="H572" s="1">
        <f t="shared" si="34"/>
        <v>5573501.6394434934</v>
      </c>
      <c r="I572" s="1">
        <f t="shared" si="34"/>
        <v>6037960.109397118</v>
      </c>
      <c r="J572" s="1">
        <f t="shared" si="35"/>
        <v>6502418.5793507416</v>
      </c>
      <c r="K572" s="1">
        <f t="shared" si="35"/>
        <v>6966877.0493043661</v>
      </c>
    </row>
    <row r="573" spans="1:11" x14ac:dyDescent="0.25">
      <c r="A573" t="s">
        <v>608</v>
      </c>
      <c r="B573" t="s">
        <v>770</v>
      </c>
      <c r="C573" t="s">
        <v>623</v>
      </c>
      <c r="D573" s="1">
        <v>3156829</v>
      </c>
      <c r="E573" s="1">
        <f t="shared" si="33"/>
        <v>3445779.8907815134</v>
      </c>
      <c r="F573" s="1">
        <f t="shared" si="34"/>
        <v>3938034.1608931585</v>
      </c>
      <c r="G573" s="1">
        <f t="shared" si="34"/>
        <v>4331837.576982474</v>
      </c>
      <c r="H573" s="1">
        <f t="shared" si="34"/>
        <v>4725640.9930717899</v>
      </c>
      <c r="I573" s="1">
        <f t="shared" si="34"/>
        <v>5119444.4091611058</v>
      </c>
      <c r="J573" s="1">
        <f t="shared" si="35"/>
        <v>5513247.8252504207</v>
      </c>
      <c r="K573" s="1">
        <f t="shared" si="35"/>
        <v>5907051.2413397375</v>
      </c>
    </row>
    <row r="574" spans="1:11" x14ac:dyDescent="0.25">
      <c r="A574" t="s">
        <v>608</v>
      </c>
      <c r="B574" t="s">
        <v>770</v>
      </c>
      <c r="C574" t="s">
        <v>624</v>
      </c>
      <c r="D574" s="1">
        <v>9672028</v>
      </c>
      <c r="E574" s="1">
        <f t="shared" si="33"/>
        <v>10557328.124353819</v>
      </c>
      <c r="F574" s="1">
        <f t="shared" si="34"/>
        <v>12065517.856404364</v>
      </c>
      <c r="G574" s="1">
        <f t="shared" si="34"/>
        <v>13272069.642044799</v>
      </c>
      <c r="H574" s="1">
        <f t="shared" si="34"/>
        <v>14478621.427685237</v>
      </c>
      <c r="I574" s="1">
        <f t="shared" si="34"/>
        <v>15685173.213325674</v>
      </c>
      <c r="J574" s="1">
        <f t="shared" si="35"/>
        <v>16891724.998966109</v>
      </c>
      <c r="K574" s="1">
        <f t="shared" si="35"/>
        <v>18098276.784606546</v>
      </c>
    </row>
    <row r="575" spans="1:11" x14ac:dyDescent="0.25">
      <c r="A575" t="s">
        <v>82</v>
      </c>
      <c r="B575" t="s">
        <v>126</v>
      </c>
      <c r="C575" t="s">
        <v>625</v>
      </c>
      <c r="D575" s="1">
        <v>5380712</v>
      </c>
      <c r="E575" s="1">
        <f t="shared" si="33"/>
        <v>5873219.3627487514</v>
      </c>
      <c r="F575" s="1">
        <f t="shared" si="34"/>
        <v>6712250.7002842873</v>
      </c>
      <c r="G575" s="1">
        <f t="shared" si="34"/>
        <v>7383475.7703127153</v>
      </c>
      <c r="H575" s="1">
        <f t="shared" si="34"/>
        <v>8054700.8403411452</v>
      </c>
      <c r="I575" s="1">
        <f t="shared" si="34"/>
        <v>8725925.9103695732</v>
      </c>
      <c r="J575" s="1">
        <f t="shared" si="35"/>
        <v>9397150.9803980011</v>
      </c>
      <c r="K575" s="1">
        <f t="shared" si="35"/>
        <v>10068376.050426431</v>
      </c>
    </row>
    <row r="576" spans="1:11" x14ac:dyDescent="0.25">
      <c r="A576" t="s">
        <v>608</v>
      </c>
      <c r="B576" t="s">
        <v>770</v>
      </c>
      <c r="C576" t="s">
        <v>626</v>
      </c>
      <c r="D576" s="1">
        <v>4680324</v>
      </c>
      <c r="E576" s="1">
        <f t="shared" si="33"/>
        <v>5108723.4441720145</v>
      </c>
      <c r="F576" s="1">
        <f t="shared" si="34"/>
        <v>5838541.0790537307</v>
      </c>
      <c r="G576" s="1">
        <f t="shared" si="34"/>
        <v>6422395.1869591037</v>
      </c>
      <c r="H576" s="1">
        <f t="shared" si="34"/>
        <v>7006249.2948644767</v>
      </c>
      <c r="I576" s="1">
        <f t="shared" si="34"/>
        <v>7590103.4027698496</v>
      </c>
      <c r="J576" s="1">
        <f t="shared" si="35"/>
        <v>8173957.5106752226</v>
      </c>
      <c r="K576" s="1">
        <f t="shared" si="35"/>
        <v>8757811.6185805965</v>
      </c>
    </row>
    <row r="577" spans="1:11" x14ac:dyDescent="0.25">
      <c r="A577" t="s">
        <v>608</v>
      </c>
      <c r="B577" t="s">
        <v>770</v>
      </c>
      <c r="C577" t="s">
        <v>627</v>
      </c>
      <c r="D577" s="1">
        <v>7937743</v>
      </c>
      <c r="E577" s="1">
        <f t="shared" si="33"/>
        <v>8664300.5394310951</v>
      </c>
      <c r="F577" s="1">
        <f t="shared" si="34"/>
        <v>9902057.759349823</v>
      </c>
      <c r="G577" s="1">
        <f t="shared" si="34"/>
        <v>10892263.535284804</v>
      </c>
      <c r="H577" s="1">
        <f t="shared" si="34"/>
        <v>11882469.311219787</v>
      </c>
      <c r="I577" s="1">
        <f t="shared" si="34"/>
        <v>12872675.087154768</v>
      </c>
      <c r="J577" s="1">
        <f t="shared" si="35"/>
        <v>13862880.86308975</v>
      </c>
      <c r="K577" s="1">
        <f t="shared" si="35"/>
        <v>14853086.639024733</v>
      </c>
    </row>
    <row r="578" spans="1:11" x14ac:dyDescent="0.25">
      <c r="A578" t="s">
        <v>608</v>
      </c>
      <c r="B578" t="s">
        <v>770</v>
      </c>
      <c r="C578" t="s">
        <v>628</v>
      </c>
      <c r="D578" s="1">
        <v>3321679</v>
      </c>
      <c r="E578" s="1">
        <f t="shared" si="33"/>
        <v>3625718.9419608242</v>
      </c>
      <c r="F578" s="1">
        <f t="shared" si="34"/>
        <v>4143678.7908123708</v>
      </c>
      <c r="G578" s="1">
        <f t="shared" si="34"/>
        <v>4558046.6698936075</v>
      </c>
      <c r="H578" s="1">
        <f t="shared" si="34"/>
        <v>4972414.5489748446</v>
      </c>
      <c r="I578" s="1">
        <f t="shared" si="34"/>
        <v>5386782.4280560818</v>
      </c>
      <c r="J578" s="1">
        <f t="shared" si="35"/>
        <v>5801150.307137318</v>
      </c>
      <c r="K578" s="1">
        <f t="shared" si="35"/>
        <v>6215518.186218556</v>
      </c>
    </row>
    <row r="579" spans="1:11" x14ac:dyDescent="0.25">
      <c r="A579" t="s">
        <v>608</v>
      </c>
      <c r="B579" t="s">
        <v>770</v>
      </c>
      <c r="C579" t="s">
        <v>629</v>
      </c>
      <c r="D579" s="1">
        <v>2829529</v>
      </c>
      <c r="E579" s="1">
        <f t="shared" si="33"/>
        <v>3088521.4652371495</v>
      </c>
      <c r="F579" s="1">
        <f t="shared" si="34"/>
        <v>3529738.8174138851</v>
      </c>
      <c r="G579" s="1">
        <f t="shared" si="34"/>
        <v>3882712.6991552729</v>
      </c>
      <c r="H579" s="1">
        <f t="shared" si="34"/>
        <v>4235686.5808966616</v>
      </c>
      <c r="I579" s="1">
        <f t="shared" ref="I579" si="36">I$1/SUM($D$3:$D$696)*$D579</f>
        <v>4588660.4626380503</v>
      </c>
      <c r="J579" s="1">
        <f t="shared" si="35"/>
        <v>4941634.344379439</v>
      </c>
      <c r="K579" s="1">
        <f t="shared" si="35"/>
        <v>5294608.2261208277</v>
      </c>
    </row>
    <row r="580" spans="1:11" x14ac:dyDescent="0.25">
      <c r="A580" t="s">
        <v>608</v>
      </c>
      <c r="B580" t="s">
        <v>770</v>
      </c>
      <c r="C580" t="s">
        <v>630</v>
      </c>
      <c r="D580" s="1">
        <v>5381725</v>
      </c>
      <c r="E580" s="1">
        <f t="shared" ref="E580:E643" si="37">$E$1/SUM($D$3:$D$696)*D580</f>
        <v>5874325.08467077</v>
      </c>
      <c r="F580" s="1">
        <f t="shared" ref="F580:I643" si="38">F$1/SUM($D$3:$D$696)*$D580</f>
        <v>6713514.3824808793</v>
      </c>
      <c r="G580" s="1">
        <f t="shared" si="38"/>
        <v>7384865.820728967</v>
      </c>
      <c r="H580" s="1">
        <f t="shared" si="38"/>
        <v>8056217.2589770546</v>
      </c>
      <c r="I580" s="1">
        <f t="shared" si="38"/>
        <v>8727568.6972251441</v>
      </c>
      <c r="J580" s="1">
        <f t="shared" ref="J580:K643" si="39">J$1/SUM($D$3:$D$696)*$D580</f>
        <v>9398920.1354732309</v>
      </c>
      <c r="K580" s="1">
        <f t="shared" si="39"/>
        <v>10070271.573721319</v>
      </c>
    </row>
    <row r="581" spans="1:11" x14ac:dyDescent="0.25">
      <c r="A581" t="s">
        <v>82</v>
      </c>
      <c r="B581" t="s">
        <v>126</v>
      </c>
      <c r="C581" t="s">
        <v>631</v>
      </c>
      <c r="D581" s="1">
        <v>4086742</v>
      </c>
      <c r="E581" s="1">
        <f t="shared" si="37"/>
        <v>4460809.6930217715</v>
      </c>
      <c r="F581" s="1">
        <f t="shared" si="38"/>
        <v>5098068.2205963098</v>
      </c>
      <c r="G581" s="1">
        <f t="shared" si="38"/>
        <v>5607875.0426559402</v>
      </c>
      <c r="H581" s="1">
        <f t="shared" si="38"/>
        <v>6117681.8647155715</v>
      </c>
      <c r="I581" s="1">
        <f t="shared" si="38"/>
        <v>6627488.6867752029</v>
      </c>
      <c r="J581" s="1">
        <f t="shared" si="39"/>
        <v>7137295.5088348323</v>
      </c>
      <c r="K581" s="1">
        <f t="shared" si="39"/>
        <v>7647102.3308944637</v>
      </c>
    </row>
    <row r="582" spans="1:11" x14ac:dyDescent="0.25">
      <c r="A582" t="s">
        <v>608</v>
      </c>
      <c r="B582" t="s">
        <v>632</v>
      </c>
      <c r="C582" t="s">
        <v>633</v>
      </c>
      <c r="D582" s="1">
        <v>2359384</v>
      </c>
      <c r="E582" s="1">
        <f t="shared" si="37"/>
        <v>2575343.1503041978</v>
      </c>
      <c r="F582" s="1">
        <f t="shared" si="38"/>
        <v>2943249.314633369</v>
      </c>
      <c r="G582" s="1">
        <f t="shared" si="38"/>
        <v>3237574.2460967056</v>
      </c>
      <c r="H582" s="1">
        <f t="shared" si="38"/>
        <v>3531899.1775600426</v>
      </c>
      <c r="I582" s="1">
        <f t="shared" si="38"/>
        <v>3826224.1090233796</v>
      </c>
      <c r="J582" s="1">
        <f t="shared" si="39"/>
        <v>4120549.0404867162</v>
      </c>
      <c r="K582" s="1">
        <f t="shared" si="39"/>
        <v>4414873.9719500532</v>
      </c>
    </row>
    <row r="583" spans="1:11" x14ac:dyDescent="0.25">
      <c r="A583" t="s">
        <v>608</v>
      </c>
      <c r="B583" t="s">
        <v>632</v>
      </c>
      <c r="C583" t="s">
        <v>634</v>
      </c>
      <c r="D583" s="1">
        <v>2343651</v>
      </c>
      <c r="E583" s="1">
        <f t="shared" si="37"/>
        <v>2558170.077254734</v>
      </c>
      <c r="F583" s="1">
        <f t="shared" si="38"/>
        <v>2923622.9454339817</v>
      </c>
      <c r="G583" s="1">
        <f t="shared" si="38"/>
        <v>3215985.2399773798</v>
      </c>
      <c r="H583" s="1">
        <f t="shared" si="38"/>
        <v>3508347.5345207779</v>
      </c>
      <c r="I583" s="1">
        <f t="shared" si="38"/>
        <v>3800709.8290641764</v>
      </c>
      <c r="J583" s="1">
        <f t="shared" si="39"/>
        <v>4093072.123607574</v>
      </c>
      <c r="K583" s="1">
        <f t="shared" si="39"/>
        <v>4385434.4181509726</v>
      </c>
    </row>
    <row r="584" spans="1:11" x14ac:dyDescent="0.25">
      <c r="A584" t="s">
        <v>608</v>
      </c>
      <c r="B584" t="s">
        <v>632</v>
      </c>
      <c r="C584" t="s">
        <v>635</v>
      </c>
      <c r="D584" s="1">
        <v>3427086</v>
      </c>
      <c r="E584" s="1">
        <f t="shared" si="37"/>
        <v>3740774.056111007</v>
      </c>
      <c r="F584" s="1">
        <f t="shared" si="38"/>
        <v>4275170.3498411505</v>
      </c>
      <c r="G584" s="1">
        <f t="shared" si="38"/>
        <v>4702687.384825265</v>
      </c>
      <c r="H584" s="1">
        <f t="shared" si="38"/>
        <v>5130204.4198093805</v>
      </c>
      <c r="I584" s="1">
        <f t="shared" si="38"/>
        <v>5557721.4547934961</v>
      </c>
      <c r="J584" s="1">
        <f t="shared" si="39"/>
        <v>5985238.4897776106</v>
      </c>
      <c r="K584" s="1">
        <f t="shared" si="39"/>
        <v>6412755.5247617261</v>
      </c>
    </row>
    <row r="585" spans="1:11" x14ac:dyDescent="0.25">
      <c r="A585" t="s">
        <v>608</v>
      </c>
      <c r="B585" t="s">
        <v>632</v>
      </c>
      <c r="C585" t="s">
        <v>636</v>
      </c>
      <c r="D585" s="1">
        <v>3114918</v>
      </c>
      <c r="E585" s="1">
        <f t="shared" si="37"/>
        <v>3400032.6928805364</v>
      </c>
      <c r="F585" s="1">
        <f t="shared" si="38"/>
        <v>3885751.6490063271</v>
      </c>
      <c r="G585" s="1">
        <f t="shared" si="38"/>
        <v>4274326.8139069593</v>
      </c>
      <c r="H585" s="1">
        <f t="shared" si="38"/>
        <v>4662901.9788075928</v>
      </c>
      <c r="I585" s="1">
        <f t="shared" si="38"/>
        <v>5051477.1437082253</v>
      </c>
      <c r="J585" s="1">
        <f t="shared" si="39"/>
        <v>5440052.3086088579</v>
      </c>
      <c r="K585" s="1">
        <f t="shared" si="39"/>
        <v>5828627.4735094905</v>
      </c>
    </row>
    <row r="586" spans="1:11" x14ac:dyDescent="0.25">
      <c r="A586" t="s">
        <v>608</v>
      </c>
      <c r="B586" t="s">
        <v>632</v>
      </c>
      <c r="C586" t="s">
        <v>637</v>
      </c>
      <c r="D586" s="1">
        <v>5540377</v>
      </c>
      <c r="E586" s="1">
        <f t="shared" si="37"/>
        <v>6047498.8204772603</v>
      </c>
      <c r="F586" s="1">
        <f t="shared" si="38"/>
        <v>6911427.223402583</v>
      </c>
      <c r="G586" s="1">
        <f t="shared" si="38"/>
        <v>7602569.9457428409</v>
      </c>
      <c r="H586" s="1">
        <f t="shared" si="38"/>
        <v>8293712.6680830996</v>
      </c>
      <c r="I586" s="1">
        <f t="shared" si="38"/>
        <v>8984855.3904233575</v>
      </c>
      <c r="J586" s="1">
        <f t="shared" si="39"/>
        <v>9675998.1127636153</v>
      </c>
      <c r="K586" s="1">
        <f t="shared" si="39"/>
        <v>10367140.835103875</v>
      </c>
    </row>
    <row r="587" spans="1:11" x14ac:dyDescent="0.25">
      <c r="A587" t="s">
        <v>608</v>
      </c>
      <c r="B587" t="s">
        <v>632</v>
      </c>
      <c r="C587" t="s">
        <v>638</v>
      </c>
      <c r="D587" s="1">
        <v>8262901</v>
      </c>
      <c r="E587" s="1">
        <f t="shared" si="37"/>
        <v>9019220.9034187347</v>
      </c>
      <c r="F587" s="1">
        <f t="shared" si="38"/>
        <v>10307681.032478552</v>
      </c>
      <c r="G587" s="1">
        <f t="shared" si="38"/>
        <v>11338449.135726407</v>
      </c>
      <c r="H587" s="1">
        <f t="shared" si="38"/>
        <v>12369217.238974264</v>
      </c>
      <c r="I587" s="1">
        <f t="shared" si="38"/>
        <v>13399985.342222119</v>
      </c>
      <c r="J587" s="1">
        <f t="shared" si="39"/>
        <v>14430753.445469974</v>
      </c>
      <c r="K587" s="1">
        <f t="shared" si="39"/>
        <v>15461521.548717828</v>
      </c>
    </row>
    <row r="588" spans="1:11" x14ac:dyDescent="0.25">
      <c r="A588" t="s">
        <v>608</v>
      </c>
      <c r="B588" t="s">
        <v>632</v>
      </c>
      <c r="C588" t="s">
        <v>639</v>
      </c>
      <c r="D588" s="1">
        <v>4683814</v>
      </c>
      <c r="E588" s="1">
        <f t="shared" si="37"/>
        <v>5112532.8908727476</v>
      </c>
      <c r="F588" s="1">
        <f t="shared" si="38"/>
        <v>5842894.732425997</v>
      </c>
      <c r="G588" s="1">
        <f t="shared" si="38"/>
        <v>6427184.2056685956</v>
      </c>
      <c r="H588" s="1">
        <f t="shared" si="38"/>
        <v>7011473.6789111961</v>
      </c>
      <c r="I588" s="1">
        <f t="shared" si="38"/>
        <v>7595763.1521537956</v>
      </c>
      <c r="J588" s="1">
        <f t="shared" si="39"/>
        <v>8180052.6253963951</v>
      </c>
      <c r="K588" s="1">
        <f t="shared" si="39"/>
        <v>8764342.0986389946</v>
      </c>
    </row>
    <row r="589" spans="1:11" x14ac:dyDescent="0.25">
      <c r="A589" t="s">
        <v>608</v>
      </c>
      <c r="B589" t="s">
        <v>632</v>
      </c>
      <c r="C589" t="s">
        <v>640</v>
      </c>
      <c r="D589" s="1">
        <v>6565903</v>
      </c>
      <c r="E589" s="1">
        <f t="shared" si="37"/>
        <v>7166893.2724015182</v>
      </c>
      <c r="F589" s="1">
        <f t="shared" si="38"/>
        <v>8190735.1684588781</v>
      </c>
      <c r="G589" s="1">
        <f t="shared" si="38"/>
        <v>9009808.6853047647</v>
      </c>
      <c r="H589" s="1">
        <f t="shared" si="38"/>
        <v>9828882.2021506522</v>
      </c>
      <c r="I589" s="1">
        <f t="shared" si="38"/>
        <v>10647955.718996542</v>
      </c>
      <c r="J589" s="1">
        <f t="shared" si="39"/>
        <v>11467029.235842427</v>
      </c>
      <c r="K589" s="1">
        <f t="shared" si="39"/>
        <v>12286102.752688317</v>
      </c>
    </row>
    <row r="590" spans="1:11" x14ac:dyDescent="0.25">
      <c r="A590" t="s">
        <v>608</v>
      </c>
      <c r="B590" t="s">
        <v>671</v>
      </c>
      <c r="C590" t="s">
        <v>641</v>
      </c>
      <c r="D590" s="1">
        <v>4398627</v>
      </c>
      <c r="E590" s="1">
        <f t="shared" si="37"/>
        <v>4801242.1526945606</v>
      </c>
      <c r="F590" s="1">
        <f t="shared" si="38"/>
        <v>5487133.8887937833</v>
      </c>
      <c r="G590" s="1">
        <f t="shared" si="38"/>
        <v>6035847.2776731607</v>
      </c>
      <c r="H590" s="1">
        <f t="shared" si="38"/>
        <v>6584560.6665525399</v>
      </c>
      <c r="I590" s="1">
        <f t="shared" si="38"/>
        <v>7133274.0554319182</v>
      </c>
      <c r="J590" s="1">
        <f t="shared" si="39"/>
        <v>7681987.4443112956</v>
      </c>
      <c r="K590" s="1">
        <f t="shared" si="39"/>
        <v>8230700.8331906749</v>
      </c>
    </row>
    <row r="591" spans="1:11" x14ac:dyDescent="0.25">
      <c r="A591" t="s">
        <v>608</v>
      </c>
      <c r="B591" t="s">
        <v>632</v>
      </c>
      <c r="C591" t="s">
        <v>642</v>
      </c>
      <c r="D591" s="1">
        <v>6702743</v>
      </c>
      <c r="E591" s="1">
        <f t="shared" si="37"/>
        <v>7316258.5120944325</v>
      </c>
      <c r="F591" s="1">
        <f t="shared" si="38"/>
        <v>8361438.2995364936</v>
      </c>
      <c r="G591" s="1">
        <f t="shared" si="38"/>
        <v>9197582.1294901427</v>
      </c>
      <c r="H591" s="1">
        <f t="shared" si="38"/>
        <v>10033725.959443793</v>
      </c>
      <c r="I591" s="1">
        <f t="shared" si="38"/>
        <v>10869869.789397443</v>
      </c>
      <c r="J591" s="1">
        <f t="shared" si="39"/>
        <v>11706013.619351091</v>
      </c>
      <c r="K591" s="1">
        <f t="shared" si="39"/>
        <v>12542157.449304741</v>
      </c>
    </row>
    <row r="592" spans="1:11" x14ac:dyDescent="0.25">
      <c r="A592" t="s">
        <v>608</v>
      </c>
      <c r="B592" t="s">
        <v>632</v>
      </c>
      <c r="C592" t="s">
        <v>643</v>
      </c>
      <c r="D592" s="1">
        <v>5521101</v>
      </c>
      <c r="E592" s="1">
        <f t="shared" si="37"/>
        <v>6026458.4495307496</v>
      </c>
      <c r="F592" s="1">
        <f t="shared" si="38"/>
        <v>6887381.085177999</v>
      </c>
      <c r="G592" s="1">
        <f t="shared" si="38"/>
        <v>7576119.1936957976</v>
      </c>
      <c r="H592" s="1">
        <f t="shared" si="38"/>
        <v>8264857.302213598</v>
      </c>
      <c r="I592" s="1">
        <f t="shared" si="38"/>
        <v>8953595.4107313976</v>
      </c>
      <c r="J592" s="1">
        <f t="shared" si="39"/>
        <v>9642333.5192491971</v>
      </c>
      <c r="K592" s="1">
        <f t="shared" si="39"/>
        <v>10331071.627766998</v>
      </c>
    </row>
    <row r="593" spans="1:11" x14ac:dyDescent="0.25">
      <c r="A593" t="s">
        <v>608</v>
      </c>
      <c r="B593" t="s">
        <v>632</v>
      </c>
      <c r="C593" t="s">
        <v>644</v>
      </c>
      <c r="D593" s="1">
        <v>6435868</v>
      </c>
      <c r="E593" s="1">
        <f t="shared" si="37"/>
        <v>7024955.9080090299</v>
      </c>
      <c r="F593" s="1">
        <f t="shared" si="38"/>
        <v>8028521.0377246058</v>
      </c>
      <c r="G593" s="1">
        <f t="shared" si="38"/>
        <v>8831373.1414970644</v>
      </c>
      <c r="H593" s="1">
        <f t="shared" si="38"/>
        <v>9634225.2452695258</v>
      </c>
      <c r="I593" s="1">
        <f t="shared" si="38"/>
        <v>10437077.349041987</v>
      </c>
      <c r="J593" s="1">
        <f t="shared" si="39"/>
        <v>11239929.452814447</v>
      </c>
      <c r="K593" s="1">
        <f t="shared" si="39"/>
        <v>12042781.556586908</v>
      </c>
    </row>
    <row r="594" spans="1:11" x14ac:dyDescent="0.25">
      <c r="A594" t="s">
        <v>608</v>
      </c>
      <c r="B594" t="s">
        <v>658</v>
      </c>
      <c r="C594" t="s">
        <v>646</v>
      </c>
      <c r="D594" s="1">
        <v>5574404</v>
      </c>
      <c r="E594" s="1">
        <f t="shared" si="37"/>
        <v>6084640.3800434023</v>
      </c>
      <c r="F594" s="1">
        <f t="shared" si="38"/>
        <v>6953874.720049602</v>
      </c>
      <c r="G594" s="1">
        <f t="shared" si="38"/>
        <v>7649262.1920545613</v>
      </c>
      <c r="H594" s="1">
        <f t="shared" si="38"/>
        <v>8344649.6640595216</v>
      </c>
      <c r="I594" s="1">
        <f t="shared" si="38"/>
        <v>9040037.1360644829</v>
      </c>
      <c r="J594" s="1">
        <f t="shared" si="39"/>
        <v>9735424.6080694422</v>
      </c>
      <c r="K594" s="1">
        <f t="shared" si="39"/>
        <v>10430812.080074402</v>
      </c>
    </row>
    <row r="595" spans="1:11" x14ac:dyDescent="0.25">
      <c r="A595" t="s">
        <v>608</v>
      </c>
      <c r="B595" t="s">
        <v>671</v>
      </c>
      <c r="C595" t="s">
        <v>647</v>
      </c>
      <c r="D595" s="1">
        <v>3314092</v>
      </c>
      <c r="E595" s="1">
        <f t="shared" si="37"/>
        <v>3617437.4886317528</v>
      </c>
      <c r="F595" s="1">
        <f t="shared" si="38"/>
        <v>4134214.2727220031</v>
      </c>
      <c r="G595" s="1">
        <f t="shared" si="38"/>
        <v>4547635.6999942027</v>
      </c>
      <c r="H595" s="1">
        <f t="shared" si="38"/>
        <v>4961057.1272664033</v>
      </c>
      <c r="I595" s="1">
        <f t="shared" si="38"/>
        <v>5374478.5545386039</v>
      </c>
      <c r="J595" s="1">
        <f t="shared" si="39"/>
        <v>5787899.9818108035</v>
      </c>
      <c r="K595" s="1">
        <f t="shared" si="39"/>
        <v>6201321.4090830041</v>
      </c>
    </row>
    <row r="596" spans="1:11" x14ac:dyDescent="0.25">
      <c r="A596" t="s">
        <v>608</v>
      </c>
      <c r="B596" t="s">
        <v>658</v>
      </c>
      <c r="C596" t="s">
        <v>648</v>
      </c>
      <c r="D596" s="1">
        <v>3638729</v>
      </c>
      <c r="E596" s="1">
        <f t="shared" si="37"/>
        <v>3971789.1644442971</v>
      </c>
      <c r="F596" s="1">
        <f t="shared" si="38"/>
        <v>4539187.6165077677</v>
      </c>
      <c r="G596" s="1">
        <f t="shared" si="38"/>
        <v>4993106.3781585442</v>
      </c>
      <c r="H596" s="1">
        <f t="shared" si="38"/>
        <v>5447025.1398093216</v>
      </c>
      <c r="I596" s="1">
        <f t="shared" si="38"/>
        <v>5900943.9014600981</v>
      </c>
      <c r="J596" s="1">
        <f t="shared" si="39"/>
        <v>6354862.6631108746</v>
      </c>
      <c r="K596" s="1">
        <f t="shared" si="39"/>
        <v>6808781.424761652</v>
      </c>
    </row>
    <row r="597" spans="1:11" x14ac:dyDescent="0.25">
      <c r="A597" t="s">
        <v>608</v>
      </c>
      <c r="B597" t="s">
        <v>658</v>
      </c>
      <c r="C597" t="s">
        <v>649</v>
      </c>
      <c r="D597" s="1">
        <v>6668119</v>
      </c>
      <c r="E597" s="1">
        <f t="shared" si="37"/>
        <v>7278465.3079207446</v>
      </c>
      <c r="F597" s="1">
        <f t="shared" si="38"/>
        <v>8318246.0661951359</v>
      </c>
      <c r="G597" s="1">
        <f t="shared" si="38"/>
        <v>9150070.6728146486</v>
      </c>
      <c r="H597" s="1">
        <f t="shared" si="38"/>
        <v>9981895.2794341631</v>
      </c>
      <c r="I597" s="1">
        <f t="shared" si="38"/>
        <v>10813719.886053678</v>
      </c>
      <c r="J597" s="1">
        <f t="shared" si="39"/>
        <v>11645544.49267319</v>
      </c>
      <c r="K597" s="1">
        <f t="shared" si="39"/>
        <v>12477369.099292703</v>
      </c>
    </row>
    <row r="598" spans="1:11" x14ac:dyDescent="0.25">
      <c r="A598" t="s">
        <v>608</v>
      </c>
      <c r="B598" t="s">
        <v>671</v>
      </c>
      <c r="C598" t="s">
        <v>650</v>
      </c>
      <c r="D598" s="1">
        <v>2177030</v>
      </c>
      <c r="E598" s="1">
        <f t="shared" si="37"/>
        <v>2376297.9228929025</v>
      </c>
      <c r="F598" s="1">
        <f t="shared" si="38"/>
        <v>2715769.0547347455</v>
      </c>
      <c r="G598" s="1">
        <f t="shared" si="38"/>
        <v>2987345.9602082199</v>
      </c>
      <c r="H598" s="1">
        <f t="shared" si="38"/>
        <v>3258922.8656816948</v>
      </c>
      <c r="I598" s="1">
        <f t="shared" si="38"/>
        <v>3530499.7711551692</v>
      </c>
      <c r="J598" s="1">
        <f t="shared" si="39"/>
        <v>3802076.6766286436</v>
      </c>
      <c r="K598" s="1">
        <f t="shared" si="39"/>
        <v>4073653.5821021181</v>
      </c>
    </row>
    <row r="599" spans="1:11" x14ac:dyDescent="0.25">
      <c r="A599" t="s">
        <v>608</v>
      </c>
      <c r="B599" t="s">
        <v>658</v>
      </c>
      <c r="C599" t="s">
        <v>651</v>
      </c>
      <c r="D599" s="1">
        <v>2721808</v>
      </c>
      <c r="E599" s="1">
        <f t="shared" si="37"/>
        <v>2970940.5460252203</v>
      </c>
      <c r="F599" s="1">
        <f t="shared" si="38"/>
        <v>3395360.6240288229</v>
      </c>
      <c r="G599" s="1">
        <f t="shared" si="38"/>
        <v>3734896.686431705</v>
      </c>
      <c r="H599" s="1">
        <f t="shared" si="38"/>
        <v>4074432.7488345876</v>
      </c>
      <c r="I599" s="1">
        <f t="shared" si="38"/>
        <v>4413968.8112374702</v>
      </c>
      <c r="J599" s="1">
        <f t="shared" si="39"/>
        <v>4753504.8736403519</v>
      </c>
      <c r="K599" s="1">
        <f t="shared" si="39"/>
        <v>5093040.9360432345</v>
      </c>
    </row>
    <row r="600" spans="1:11" x14ac:dyDescent="0.25">
      <c r="A600" t="s">
        <v>608</v>
      </c>
      <c r="B600" t="s">
        <v>671</v>
      </c>
      <c r="C600" t="s">
        <v>652</v>
      </c>
      <c r="D600" s="1">
        <v>2699006</v>
      </c>
      <c r="E600" s="1">
        <f t="shared" si="37"/>
        <v>2946051.4332257621</v>
      </c>
      <c r="F600" s="1">
        <f t="shared" si="38"/>
        <v>3366915.9236865854</v>
      </c>
      <c r="G600" s="1">
        <f t="shared" si="38"/>
        <v>3703607.5160552436</v>
      </c>
      <c r="H600" s="1">
        <f t="shared" si="38"/>
        <v>4040299.1084239022</v>
      </c>
      <c r="I600" s="1">
        <f t="shared" si="38"/>
        <v>4376990.7007925613</v>
      </c>
      <c r="J600" s="1">
        <f t="shared" si="39"/>
        <v>4713682.293161219</v>
      </c>
      <c r="K600" s="1">
        <f t="shared" si="39"/>
        <v>5050373.8855298776</v>
      </c>
    </row>
    <row r="601" spans="1:11" x14ac:dyDescent="0.25">
      <c r="A601" t="s">
        <v>608</v>
      </c>
      <c r="B601" t="s">
        <v>658</v>
      </c>
      <c r="C601" t="s">
        <v>653</v>
      </c>
      <c r="D601" s="1">
        <v>3170645</v>
      </c>
      <c r="E601" s="1">
        <f t="shared" si="37"/>
        <v>3460860.4969755891</v>
      </c>
      <c r="F601" s="1">
        <f t="shared" si="38"/>
        <v>3955269.1394006731</v>
      </c>
      <c r="G601" s="1">
        <f t="shared" si="38"/>
        <v>4350796.0533407405</v>
      </c>
      <c r="H601" s="1">
        <f t="shared" si="38"/>
        <v>4746322.9672808079</v>
      </c>
      <c r="I601" s="1">
        <f t="shared" si="38"/>
        <v>5141849.8812208753</v>
      </c>
      <c r="J601" s="1">
        <f t="shared" si="39"/>
        <v>5537376.7951609418</v>
      </c>
      <c r="K601" s="1">
        <f t="shared" si="39"/>
        <v>5932903.7091010092</v>
      </c>
    </row>
    <row r="602" spans="1:11" x14ac:dyDescent="0.25">
      <c r="A602" t="s">
        <v>608</v>
      </c>
      <c r="B602" t="s">
        <v>658</v>
      </c>
      <c r="C602" t="s">
        <v>654</v>
      </c>
      <c r="D602" s="1">
        <v>10097205</v>
      </c>
      <c r="E602" s="1">
        <f t="shared" si="37"/>
        <v>11021422.428043632</v>
      </c>
      <c r="F602" s="1">
        <f t="shared" si="38"/>
        <v>12595911.346335581</v>
      </c>
      <c r="G602" s="1">
        <f t="shared" si="38"/>
        <v>13855502.480969137</v>
      </c>
      <c r="H602" s="1">
        <f t="shared" si="38"/>
        <v>15115093.615602694</v>
      </c>
      <c r="I602" s="1">
        <f t="shared" si="38"/>
        <v>16374684.750236254</v>
      </c>
      <c r="J602" s="1">
        <f t="shared" si="39"/>
        <v>17634275.88486981</v>
      </c>
      <c r="K602" s="1">
        <f t="shared" si="39"/>
        <v>18893867.01950337</v>
      </c>
    </row>
    <row r="603" spans="1:11" x14ac:dyDescent="0.25">
      <c r="A603" t="s">
        <v>608</v>
      </c>
      <c r="B603" t="s">
        <v>658</v>
      </c>
      <c r="C603" t="s">
        <v>655</v>
      </c>
      <c r="D603" s="1">
        <v>7279216</v>
      </c>
      <c r="E603" s="1">
        <f t="shared" si="37"/>
        <v>7945497.2421550378</v>
      </c>
      <c r="F603" s="1">
        <f t="shared" si="38"/>
        <v>9080568.2767486144</v>
      </c>
      <c r="G603" s="1">
        <f t="shared" si="38"/>
        <v>9988625.1044234745</v>
      </c>
      <c r="H603" s="1">
        <f t="shared" si="38"/>
        <v>10896681.932098337</v>
      </c>
      <c r="I603" s="1">
        <f t="shared" si="38"/>
        <v>11804738.759773199</v>
      </c>
      <c r="J603" s="1">
        <f t="shared" si="39"/>
        <v>12712795.587448059</v>
      </c>
      <c r="K603" s="1">
        <f t="shared" si="39"/>
        <v>13620852.415122921</v>
      </c>
    </row>
    <row r="604" spans="1:11" x14ac:dyDescent="0.25">
      <c r="A604" t="s">
        <v>608</v>
      </c>
      <c r="B604" t="s">
        <v>658</v>
      </c>
      <c r="C604" t="s">
        <v>656</v>
      </c>
      <c r="D604" s="1">
        <v>2843295</v>
      </c>
      <c r="E604" s="1">
        <f t="shared" si="37"/>
        <v>3103547.4948309278</v>
      </c>
      <c r="F604" s="1">
        <f t="shared" si="38"/>
        <v>3546911.4226639178</v>
      </c>
      <c r="G604" s="1">
        <f t="shared" si="38"/>
        <v>3901602.5649303091</v>
      </c>
      <c r="H604" s="1">
        <f t="shared" si="38"/>
        <v>4256293.7071967013</v>
      </c>
      <c r="I604" s="1">
        <f t="shared" si="38"/>
        <v>4610984.8494630931</v>
      </c>
      <c r="J604" s="1">
        <f t="shared" si="39"/>
        <v>4965675.9917294839</v>
      </c>
      <c r="K604" s="1">
        <f t="shared" si="39"/>
        <v>5320367.1339958757</v>
      </c>
    </row>
    <row r="605" spans="1:11" x14ac:dyDescent="0.25">
      <c r="A605" t="s">
        <v>608</v>
      </c>
      <c r="B605" t="s">
        <v>770</v>
      </c>
      <c r="C605" t="s">
        <v>657</v>
      </c>
      <c r="D605" s="1">
        <v>4794506</v>
      </c>
      <c r="E605" s="1">
        <f t="shared" si="37"/>
        <v>5233356.7516743261</v>
      </c>
      <c r="F605" s="1">
        <f t="shared" si="38"/>
        <v>5980979.1447706586</v>
      </c>
      <c r="G605" s="1">
        <f t="shared" si="38"/>
        <v>6579077.0592477238</v>
      </c>
      <c r="H605" s="1">
        <f t="shared" si="38"/>
        <v>7177174.9737247899</v>
      </c>
      <c r="I605" s="1">
        <f t="shared" si="38"/>
        <v>7775272.8882018561</v>
      </c>
      <c r="J605" s="1">
        <f t="shared" si="39"/>
        <v>8373370.8026789213</v>
      </c>
      <c r="K605" s="1">
        <f t="shared" si="39"/>
        <v>8971468.7171559874</v>
      </c>
    </row>
    <row r="606" spans="1:11" x14ac:dyDescent="0.25">
      <c r="A606" t="s">
        <v>608</v>
      </c>
      <c r="B606" t="s">
        <v>658</v>
      </c>
      <c r="C606" t="s">
        <v>659</v>
      </c>
      <c r="D606" s="1">
        <v>3824458</v>
      </c>
      <c r="E606" s="1">
        <f t="shared" si="37"/>
        <v>4174518.3123756419</v>
      </c>
      <c r="F606" s="1">
        <f t="shared" si="38"/>
        <v>4770878.0712864483</v>
      </c>
      <c r="G606" s="1">
        <f t="shared" si="38"/>
        <v>5247965.8784150919</v>
      </c>
      <c r="H606" s="1">
        <f t="shared" si="38"/>
        <v>5725053.6855437374</v>
      </c>
      <c r="I606" s="1">
        <f t="shared" si="38"/>
        <v>6202141.4926723819</v>
      </c>
      <c r="J606" s="1">
        <f t="shared" si="39"/>
        <v>6679229.2998010265</v>
      </c>
      <c r="K606" s="1">
        <f t="shared" si="39"/>
        <v>7156317.106929672</v>
      </c>
    </row>
    <row r="607" spans="1:11" x14ac:dyDescent="0.25">
      <c r="A607" t="s">
        <v>608</v>
      </c>
      <c r="B607" t="s">
        <v>658</v>
      </c>
      <c r="C607" t="s">
        <v>660</v>
      </c>
      <c r="D607" s="1">
        <v>2354614</v>
      </c>
      <c r="E607" s="1">
        <f t="shared" si="37"/>
        <v>2570136.5426358613</v>
      </c>
      <c r="F607" s="1">
        <f t="shared" si="38"/>
        <v>2937298.9058695557</v>
      </c>
      <c r="G607" s="1">
        <f t="shared" si="38"/>
        <v>3231028.7964565107</v>
      </c>
      <c r="H607" s="1">
        <f t="shared" si="38"/>
        <v>3524758.6870434666</v>
      </c>
      <c r="I607" s="1">
        <f t="shared" si="38"/>
        <v>3818488.5776304221</v>
      </c>
      <c r="J607" s="1">
        <f t="shared" si="39"/>
        <v>4112218.4682173771</v>
      </c>
      <c r="K607" s="1">
        <f t="shared" si="39"/>
        <v>4405948.358804333</v>
      </c>
    </row>
    <row r="608" spans="1:11" x14ac:dyDescent="0.25">
      <c r="A608" t="s">
        <v>82</v>
      </c>
      <c r="B608" t="s">
        <v>126</v>
      </c>
      <c r="C608" t="s">
        <v>661</v>
      </c>
      <c r="D608" s="1">
        <v>4646230</v>
      </c>
      <c r="E608" s="1">
        <f t="shared" si="37"/>
        <v>5071508.7519614752</v>
      </c>
      <c r="F608" s="1">
        <f t="shared" si="38"/>
        <v>5796010.002241686</v>
      </c>
      <c r="G608" s="1">
        <f t="shared" si="38"/>
        <v>6375611.0024658535</v>
      </c>
      <c r="H608" s="1">
        <f t="shared" si="38"/>
        <v>6955212.0026900228</v>
      </c>
      <c r="I608" s="1">
        <f t="shared" si="38"/>
        <v>7534813.0029141912</v>
      </c>
      <c r="J608" s="1">
        <f t="shared" si="39"/>
        <v>8114414.0031383596</v>
      </c>
      <c r="K608" s="1">
        <f t="shared" si="39"/>
        <v>8694015.003362529</v>
      </c>
    </row>
    <row r="609" spans="1:11" x14ac:dyDescent="0.25">
      <c r="A609" t="s">
        <v>608</v>
      </c>
      <c r="B609" t="s">
        <v>658</v>
      </c>
      <c r="C609" t="s">
        <v>662</v>
      </c>
      <c r="D609" s="1">
        <v>4236185</v>
      </c>
      <c r="E609" s="1">
        <f t="shared" si="37"/>
        <v>4623931.5105855549</v>
      </c>
      <c r="F609" s="1">
        <f t="shared" si="38"/>
        <v>5284493.1549549196</v>
      </c>
      <c r="G609" s="1">
        <f t="shared" si="38"/>
        <v>5812942.4704504106</v>
      </c>
      <c r="H609" s="1">
        <f t="shared" si="38"/>
        <v>6341391.7859459035</v>
      </c>
      <c r="I609" s="1">
        <f t="shared" si="38"/>
        <v>6869841.1014413955</v>
      </c>
      <c r="J609" s="1">
        <f t="shared" si="39"/>
        <v>7398290.4169368865</v>
      </c>
      <c r="K609" s="1">
        <f t="shared" si="39"/>
        <v>7926739.7324323785</v>
      </c>
    </row>
    <row r="610" spans="1:11" x14ac:dyDescent="0.25">
      <c r="A610" t="s">
        <v>608</v>
      </c>
      <c r="B610" t="s">
        <v>658</v>
      </c>
      <c r="C610" t="s">
        <v>663</v>
      </c>
      <c r="D610" s="1">
        <v>5933551</v>
      </c>
      <c r="E610" s="1">
        <f t="shared" si="37"/>
        <v>6476660.8253809568</v>
      </c>
      <c r="F610" s="1">
        <f t="shared" si="38"/>
        <v>7401898.0861496646</v>
      </c>
      <c r="G610" s="1">
        <f t="shared" si="38"/>
        <v>8142087.8947646301</v>
      </c>
      <c r="H610" s="1">
        <f t="shared" si="38"/>
        <v>8882277.7033795975</v>
      </c>
      <c r="I610" s="1">
        <f t="shared" si="38"/>
        <v>9622467.5119945649</v>
      </c>
      <c r="J610" s="1">
        <f t="shared" si="39"/>
        <v>10362657.32060953</v>
      </c>
      <c r="K610" s="1">
        <f t="shared" si="39"/>
        <v>11102847.129224496</v>
      </c>
    </row>
    <row r="611" spans="1:11" x14ac:dyDescent="0.25">
      <c r="A611" t="s">
        <v>608</v>
      </c>
      <c r="B611" t="s">
        <v>658</v>
      </c>
      <c r="C611" t="s">
        <v>664</v>
      </c>
      <c r="D611" s="1">
        <v>4061069</v>
      </c>
      <c r="E611" s="1">
        <f t="shared" si="37"/>
        <v>4432786.7918332573</v>
      </c>
      <c r="F611" s="1">
        <f t="shared" si="38"/>
        <v>5066042.0478094369</v>
      </c>
      <c r="G611" s="1">
        <f t="shared" si="38"/>
        <v>5572646.2525903806</v>
      </c>
      <c r="H611" s="1">
        <f t="shared" si="38"/>
        <v>6079250.4573713243</v>
      </c>
      <c r="I611" s="1">
        <f t="shared" si="38"/>
        <v>6585854.662152268</v>
      </c>
      <c r="J611" s="1">
        <f t="shared" si="39"/>
        <v>7092458.8669332108</v>
      </c>
      <c r="K611" s="1">
        <f t="shared" si="39"/>
        <v>7599063.0717141554</v>
      </c>
    </row>
    <row r="612" spans="1:11" x14ac:dyDescent="0.25">
      <c r="A612" t="s">
        <v>82</v>
      </c>
      <c r="B612" t="s">
        <v>126</v>
      </c>
      <c r="C612" t="s">
        <v>665</v>
      </c>
      <c r="D612" s="1">
        <v>8071706</v>
      </c>
      <c r="E612" s="1">
        <f t="shared" si="37"/>
        <v>8810525.4415429179</v>
      </c>
      <c r="F612" s="1">
        <f t="shared" si="38"/>
        <v>10069171.933191907</v>
      </c>
      <c r="G612" s="1">
        <f t="shared" si="38"/>
        <v>11076089.126511095</v>
      </c>
      <c r="H612" s="1">
        <f t="shared" si="38"/>
        <v>12083006.319830287</v>
      </c>
      <c r="I612" s="1">
        <f t="shared" si="38"/>
        <v>13089923.513149478</v>
      </c>
      <c r="J612" s="1">
        <f t="shared" si="39"/>
        <v>14096840.706468666</v>
      </c>
      <c r="K612" s="1">
        <f t="shared" si="39"/>
        <v>15103757.899787858</v>
      </c>
    </row>
    <row r="613" spans="1:11" x14ac:dyDescent="0.25">
      <c r="A613" t="s">
        <v>608</v>
      </c>
      <c r="B613" t="s">
        <v>658</v>
      </c>
      <c r="C613" t="s">
        <v>666</v>
      </c>
      <c r="D613" s="1">
        <v>6953488</v>
      </c>
      <c r="E613" s="1">
        <f t="shared" si="37"/>
        <v>7589954.7049240125</v>
      </c>
      <c r="F613" s="1">
        <f t="shared" si="38"/>
        <v>8674233.9484845847</v>
      </c>
      <c r="G613" s="1">
        <f t="shared" si="38"/>
        <v>9541657.3433330432</v>
      </c>
      <c r="H613" s="1">
        <f t="shared" si="38"/>
        <v>10409080.738181502</v>
      </c>
      <c r="I613" s="1">
        <f t="shared" si="38"/>
        <v>11276504.13302996</v>
      </c>
      <c r="J613" s="1">
        <f t="shared" si="39"/>
        <v>12143927.527878419</v>
      </c>
      <c r="K613" s="1">
        <f t="shared" si="39"/>
        <v>13011350.922726877</v>
      </c>
    </row>
    <row r="614" spans="1:11" x14ac:dyDescent="0.25">
      <c r="A614" t="s">
        <v>82</v>
      </c>
      <c r="B614" t="s">
        <v>126</v>
      </c>
      <c r="C614" t="s">
        <v>667</v>
      </c>
      <c r="D614" s="1">
        <v>6856203</v>
      </c>
      <c r="E614" s="1">
        <f t="shared" si="37"/>
        <v>7483765.0137260798</v>
      </c>
      <c r="F614" s="1">
        <f t="shared" si="38"/>
        <v>8552874.3014012333</v>
      </c>
      <c r="G614" s="1">
        <f t="shared" si="38"/>
        <v>9408161.7315413561</v>
      </c>
      <c r="H614" s="1">
        <f t="shared" si="38"/>
        <v>10263449.161681479</v>
      </c>
      <c r="I614" s="1">
        <f t="shared" si="38"/>
        <v>11118736.591821603</v>
      </c>
      <c r="J614" s="1">
        <f t="shared" si="39"/>
        <v>11974024.021961726</v>
      </c>
      <c r="K614" s="1">
        <f t="shared" si="39"/>
        <v>12829311.452101849</v>
      </c>
    </row>
    <row r="615" spans="1:11" x14ac:dyDescent="0.25">
      <c r="A615" t="s">
        <v>608</v>
      </c>
      <c r="B615" t="s">
        <v>658</v>
      </c>
      <c r="C615" t="s">
        <v>668</v>
      </c>
      <c r="D615" s="1">
        <v>14985357</v>
      </c>
      <c r="E615" s="1">
        <f t="shared" si="37"/>
        <v>16356996.785946274</v>
      </c>
      <c r="F615" s="1">
        <f t="shared" si="38"/>
        <v>18693710.612510026</v>
      </c>
      <c r="G615" s="1">
        <f t="shared" si="38"/>
        <v>20563081.673761029</v>
      </c>
      <c r="H615" s="1">
        <f t="shared" si="38"/>
        <v>22432452.735012032</v>
      </c>
      <c r="I615" s="1">
        <f t="shared" si="38"/>
        <v>24301823.796263035</v>
      </c>
      <c r="J615" s="1">
        <f t="shared" si="39"/>
        <v>26171194.857514035</v>
      </c>
      <c r="K615" s="1">
        <f t="shared" si="39"/>
        <v>28040565.918765038</v>
      </c>
    </row>
    <row r="616" spans="1:11" x14ac:dyDescent="0.25">
      <c r="A616" t="s">
        <v>608</v>
      </c>
      <c r="B616" t="s">
        <v>658</v>
      </c>
      <c r="C616" t="s">
        <v>669</v>
      </c>
      <c r="D616" s="1">
        <v>6782715</v>
      </c>
      <c r="E616" s="1">
        <f t="shared" si="37"/>
        <v>7403550.5096735153</v>
      </c>
      <c r="F616" s="1">
        <f t="shared" si="38"/>
        <v>8461200.5824840181</v>
      </c>
      <c r="G616" s="1">
        <f t="shared" si="38"/>
        <v>9307320.6407324187</v>
      </c>
      <c r="H616" s="1">
        <f t="shared" si="38"/>
        <v>10153440.698980819</v>
      </c>
      <c r="I616" s="1">
        <f t="shared" si="38"/>
        <v>10999560.757229222</v>
      </c>
      <c r="J616" s="1">
        <f t="shared" si="39"/>
        <v>11845680.815477623</v>
      </c>
      <c r="K616" s="1">
        <f t="shared" si="39"/>
        <v>12691800.873726025</v>
      </c>
    </row>
    <row r="617" spans="1:11" x14ac:dyDescent="0.25">
      <c r="A617" t="s">
        <v>608</v>
      </c>
      <c r="B617" t="s">
        <v>658</v>
      </c>
      <c r="C617" t="s">
        <v>670</v>
      </c>
      <c r="D617" s="1">
        <v>3613262</v>
      </c>
      <c r="E617" s="1">
        <f t="shared" si="37"/>
        <v>3943991.1188490074</v>
      </c>
      <c r="F617" s="1">
        <f t="shared" si="38"/>
        <v>4507418.4215417225</v>
      </c>
      <c r="G617" s="1">
        <f t="shared" si="38"/>
        <v>4958160.2636958947</v>
      </c>
      <c r="H617" s="1">
        <f t="shared" si="38"/>
        <v>5408902.105850067</v>
      </c>
      <c r="I617" s="1">
        <f t="shared" si="38"/>
        <v>5859643.9480042392</v>
      </c>
      <c r="J617" s="1">
        <f t="shared" si="39"/>
        <v>6310385.7901584115</v>
      </c>
      <c r="K617" s="1">
        <f t="shared" si="39"/>
        <v>6761127.6323125837</v>
      </c>
    </row>
    <row r="618" spans="1:11" x14ac:dyDescent="0.25">
      <c r="A618" t="s">
        <v>608</v>
      </c>
      <c r="B618" t="s">
        <v>671</v>
      </c>
      <c r="C618" t="s">
        <v>672</v>
      </c>
      <c r="D618" s="1">
        <v>6528498</v>
      </c>
      <c r="E618" s="1">
        <f t="shared" si="37"/>
        <v>7126064.5177193098</v>
      </c>
      <c r="F618" s="1">
        <f t="shared" si="38"/>
        <v>8144073.7345363535</v>
      </c>
      <c r="G618" s="1">
        <f t="shared" si="38"/>
        <v>8958481.1079899874</v>
      </c>
      <c r="H618" s="1">
        <f t="shared" si="38"/>
        <v>9772888.4814436231</v>
      </c>
      <c r="I618" s="1">
        <f t="shared" si="38"/>
        <v>10587295.854897259</v>
      </c>
      <c r="J618" s="1">
        <f t="shared" si="39"/>
        <v>11401703.228350895</v>
      </c>
      <c r="K618" s="1">
        <f t="shared" si="39"/>
        <v>12216110.60180453</v>
      </c>
    </row>
    <row r="619" spans="1:11" x14ac:dyDescent="0.25">
      <c r="A619" t="s">
        <v>608</v>
      </c>
      <c r="B619" t="s">
        <v>671</v>
      </c>
      <c r="C619" t="s">
        <v>673</v>
      </c>
      <c r="D619" s="1">
        <v>2601886</v>
      </c>
      <c r="E619" s="1">
        <f t="shared" si="37"/>
        <v>2840041.8448088095</v>
      </c>
      <c r="F619" s="1">
        <f t="shared" si="38"/>
        <v>3245762.1083529252</v>
      </c>
      <c r="G619" s="1">
        <f t="shared" si="38"/>
        <v>3570338.3191882172</v>
      </c>
      <c r="H619" s="1">
        <f t="shared" si="38"/>
        <v>3894914.5300235096</v>
      </c>
      <c r="I619" s="1">
        <f t="shared" si="38"/>
        <v>4219490.7408588026</v>
      </c>
      <c r="J619" s="1">
        <f t="shared" si="39"/>
        <v>4544066.9516940946</v>
      </c>
      <c r="K619" s="1">
        <f t="shared" si="39"/>
        <v>4868643.1625293875</v>
      </c>
    </row>
    <row r="620" spans="1:11" x14ac:dyDescent="0.25">
      <c r="A620" t="s">
        <v>608</v>
      </c>
      <c r="B620" t="s">
        <v>671</v>
      </c>
      <c r="C620" t="s">
        <v>674</v>
      </c>
      <c r="D620" s="1">
        <v>3542104</v>
      </c>
      <c r="E620" s="1">
        <f t="shared" si="37"/>
        <v>3866319.8843702851</v>
      </c>
      <c r="F620" s="1">
        <f t="shared" si="38"/>
        <v>4418651.2964231828</v>
      </c>
      <c r="G620" s="1">
        <f t="shared" si="38"/>
        <v>4860516.4260655008</v>
      </c>
      <c r="H620" s="1">
        <f t="shared" si="38"/>
        <v>5302381.5557078188</v>
      </c>
      <c r="I620" s="1">
        <f t="shared" si="38"/>
        <v>5744246.6853501378</v>
      </c>
      <c r="J620" s="1">
        <f t="shared" si="39"/>
        <v>6186111.8149924548</v>
      </c>
      <c r="K620" s="1">
        <f t="shared" si="39"/>
        <v>6627976.9446347738</v>
      </c>
    </row>
    <row r="621" spans="1:11" x14ac:dyDescent="0.25">
      <c r="A621" t="s">
        <v>608</v>
      </c>
      <c r="B621" t="s">
        <v>671</v>
      </c>
      <c r="C621" t="s">
        <v>675</v>
      </c>
      <c r="D621" s="1">
        <v>5218930</v>
      </c>
      <c r="E621" s="1">
        <f t="shared" si="37"/>
        <v>5696629.1317636669</v>
      </c>
      <c r="F621" s="1">
        <f t="shared" si="38"/>
        <v>6510433.2934441902</v>
      </c>
      <c r="G621" s="1">
        <f t="shared" si="38"/>
        <v>7161476.622788609</v>
      </c>
      <c r="H621" s="1">
        <f t="shared" si="38"/>
        <v>7812519.9521330278</v>
      </c>
      <c r="I621" s="1">
        <f t="shared" si="38"/>
        <v>8463563.2814774476</v>
      </c>
      <c r="J621" s="1">
        <f t="shared" si="39"/>
        <v>9114606.6108218655</v>
      </c>
      <c r="K621" s="1">
        <f t="shared" si="39"/>
        <v>9765649.9401662853</v>
      </c>
    </row>
    <row r="622" spans="1:11" x14ac:dyDescent="0.25">
      <c r="A622" t="s">
        <v>608</v>
      </c>
      <c r="B622" t="s">
        <v>671</v>
      </c>
      <c r="C622" t="s">
        <v>676</v>
      </c>
      <c r="D622" s="1">
        <v>4720154</v>
      </c>
      <c r="E622" s="1">
        <f t="shared" si="37"/>
        <v>5152199.1639686292</v>
      </c>
      <c r="F622" s="1">
        <f t="shared" si="38"/>
        <v>5888227.6159641482</v>
      </c>
      <c r="G622" s="1">
        <f t="shared" si="38"/>
        <v>6477050.3775605615</v>
      </c>
      <c r="H622" s="1">
        <f t="shared" si="38"/>
        <v>7065873.1391569767</v>
      </c>
      <c r="I622" s="1">
        <f t="shared" si="38"/>
        <v>7654695.9007533919</v>
      </c>
      <c r="J622" s="1">
        <f t="shared" si="39"/>
        <v>8243518.6623498062</v>
      </c>
      <c r="K622" s="1">
        <f t="shared" si="39"/>
        <v>8832341.4239462204</v>
      </c>
    </row>
    <row r="623" spans="1:11" x14ac:dyDescent="0.25">
      <c r="A623" t="s">
        <v>608</v>
      </c>
      <c r="B623" t="s">
        <v>671</v>
      </c>
      <c r="C623" t="s">
        <v>677</v>
      </c>
      <c r="D623" s="1">
        <v>8132443</v>
      </c>
      <c r="E623" s="1">
        <f t="shared" si="37"/>
        <v>8876821.8209877331</v>
      </c>
      <c r="F623" s="1">
        <f t="shared" si="38"/>
        <v>10144939.223985981</v>
      </c>
      <c r="G623" s="1">
        <f t="shared" si="38"/>
        <v>11159433.146384578</v>
      </c>
      <c r="H623" s="1">
        <f t="shared" si="38"/>
        <v>12173927.068783175</v>
      </c>
      <c r="I623" s="1">
        <f t="shared" si="38"/>
        <v>13188420.991181774</v>
      </c>
      <c r="J623" s="1">
        <f t="shared" si="39"/>
        <v>14202914.913580371</v>
      </c>
      <c r="K623" s="1">
        <f t="shared" si="39"/>
        <v>15217408.83597897</v>
      </c>
    </row>
    <row r="624" spans="1:11" x14ac:dyDescent="0.25">
      <c r="A624" t="s">
        <v>608</v>
      </c>
      <c r="B624" t="s">
        <v>671</v>
      </c>
      <c r="C624" t="s">
        <v>678</v>
      </c>
      <c r="D624" s="1">
        <v>4615768</v>
      </c>
      <c r="E624" s="1">
        <f t="shared" si="37"/>
        <v>5038258.5039965119</v>
      </c>
      <c r="F624" s="1">
        <f t="shared" si="38"/>
        <v>5758009.718853157</v>
      </c>
      <c r="G624" s="1">
        <f t="shared" si="38"/>
        <v>6333810.6907384712</v>
      </c>
      <c r="H624" s="1">
        <f t="shared" si="38"/>
        <v>6909611.6626237873</v>
      </c>
      <c r="I624" s="1">
        <f t="shared" si="38"/>
        <v>7485412.6345091034</v>
      </c>
      <c r="J624" s="1">
        <f t="shared" si="39"/>
        <v>8061213.6063944185</v>
      </c>
      <c r="K624" s="1">
        <f t="shared" si="39"/>
        <v>8637014.5782797337</v>
      </c>
    </row>
    <row r="625" spans="1:11" x14ac:dyDescent="0.25">
      <c r="A625" t="s">
        <v>608</v>
      </c>
      <c r="B625" t="s">
        <v>671</v>
      </c>
      <c r="C625" t="s">
        <v>679</v>
      </c>
      <c r="D625" s="1">
        <v>1700001</v>
      </c>
      <c r="E625" s="1">
        <f t="shared" si="37"/>
        <v>1855605.5016310557</v>
      </c>
      <c r="F625" s="1">
        <f t="shared" si="38"/>
        <v>2120692.0018640636</v>
      </c>
      <c r="G625" s="1">
        <f t="shared" si="38"/>
        <v>2332761.2020504698</v>
      </c>
      <c r="H625" s="1">
        <f t="shared" si="38"/>
        <v>2544830.4022368761</v>
      </c>
      <c r="I625" s="1">
        <f t="shared" si="38"/>
        <v>2756899.6024232828</v>
      </c>
      <c r="J625" s="1">
        <f t="shared" si="39"/>
        <v>2968968.8026096886</v>
      </c>
      <c r="K625" s="1">
        <f t="shared" si="39"/>
        <v>3181038.0027960953</v>
      </c>
    </row>
    <row r="626" spans="1:11" x14ac:dyDescent="0.25">
      <c r="A626" t="s">
        <v>608</v>
      </c>
      <c r="B626" t="s">
        <v>671</v>
      </c>
      <c r="C626" t="s">
        <v>680</v>
      </c>
      <c r="D626" s="1">
        <v>3894289</v>
      </c>
      <c r="E626" s="1">
        <f t="shared" si="37"/>
        <v>4250741.0838824818</v>
      </c>
      <c r="F626" s="1">
        <f t="shared" si="38"/>
        <v>4857989.8101514075</v>
      </c>
      <c r="G626" s="1">
        <f t="shared" si="38"/>
        <v>5343788.7911665477</v>
      </c>
      <c r="H626" s="1">
        <f t="shared" si="38"/>
        <v>5829587.7721816879</v>
      </c>
      <c r="I626" s="1">
        <f t="shared" si="38"/>
        <v>6315386.753196829</v>
      </c>
      <c r="J626" s="1">
        <f t="shared" si="39"/>
        <v>6801185.7342119692</v>
      </c>
      <c r="K626" s="1">
        <f t="shared" si="39"/>
        <v>7286984.7152271103</v>
      </c>
    </row>
    <row r="627" spans="1:11" x14ac:dyDescent="0.25">
      <c r="A627" t="s">
        <v>608</v>
      </c>
      <c r="B627" t="s">
        <v>671</v>
      </c>
      <c r="C627" t="s">
        <v>681</v>
      </c>
      <c r="D627" s="1">
        <v>5234938</v>
      </c>
      <c r="E627" s="1">
        <f t="shared" si="37"/>
        <v>5714102.3761147643</v>
      </c>
      <c r="F627" s="1">
        <f t="shared" si="38"/>
        <v>6530402.7155597303</v>
      </c>
      <c r="G627" s="1">
        <f t="shared" si="38"/>
        <v>7183442.9871157026</v>
      </c>
      <c r="H627" s="1">
        <f t="shared" si="38"/>
        <v>7836483.2586716758</v>
      </c>
      <c r="I627" s="1">
        <f t="shared" si="38"/>
        <v>8489523.53022765</v>
      </c>
      <c r="J627" s="1">
        <f t="shared" si="39"/>
        <v>9142563.8017836213</v>
      </c>
      <c r="K627" s="1">
        <f t="shared" si="39"/>
        <v>9795604.0733395945</v>
      </c>
    </row>
    <row r="628" spans="1:11" x14ac:dyDescent="0.25">
      <c r="A628" t="s">
        <v>608</v>
      </c>
      <c r="B628" t="s">
        <v>671</v>
      </c>
      <c r="C628" t="s">
        <v>682</v>
      </c>
      <c r="D628" s="1">
        <v>9847497</v>
      </c>
      <c r="E628" s="1">
        <f t="shared" si="37"/>
        <v>10748858.153904213</v>
      </c>
      <c r="F628" s="1">
        <f t="shared" si="38"/>
        <v>12284409.318747671</v>
      </c>
      <c r="G628" s="1">
        <f t="shared" si="38"/>
        <v>13512850.250622438</v>
      </c>
      <c r="H628" s="1">
        <f t="shared" si="38"/>
        <v>14741291.182497205</v>
      </c>
      <c r="I628" s="1">
        <f t="shared" si="38"/>
        <v>15969732.114371972</v>
      </c>
      <c r="J628" s="1">
        <f t="shared" si="39"/>
        <v>17198173.046246737</v>
      </c>
      <c r="K628" s="1">
        <f t="shared" si="39"/>
        <v>18426613.978121508</v>
      </c>
    </row>
    <row r="629" spans="1:11" x14ac:dyDescent="0.25">
      <c r="A629" t="s">
        <v>608</v>
      </c>
      <c r="B629" t="s">
        <v>671</v>
      </c>
      <c r="C629" t="s">
        <v>683</v>
      </c>
      <c r="D629" s="1">
        <v>10316889</v>
      </c>
      <c r="E629" s="1">
        <f t="shared" si="37"/>
        <v>11261214.545236692</v>
      </c>
      <c r="F629" s="1">
        <f t="shared" si="38"/>
        <v>12869959.480270505</v>
      </c>
      <c r="G629" s="1">
        <f t="shared" si="38"/>
        <v>14156955.428297553</v>
      </c>
      <c r="H629" s="1">
        <f t="shared" si="38"/>
        <v>15443951.376324603</v>
      </c>
      <c r="I629" s="1">
        <f t="shared" si="38"/>
        <v>16730947.324351655</v>
      </c>
      <c r="J629" s="1">
        <f t="shared" si="39"/>
        <v>18017943.272378705</v>
      </c>
      <c r="K629" s="1">
        <f t="shared" si="39"/>
        <v>19304939.220405754</v>
      </c>
    </row>
    <row r="630" spans="1:11" x14ac:dyDescent="0.25">
      <c r="A630" t="s">
        <v>608</v>
      </c>
      <c r="B630" t="s">
        <v>671</v>
      </c>
      <c r="C630" t="s">
        <v>684</v>
      </c>
      <c r="D630" s="1">
        <v>12428744</v>
      </c>
      <c r="E630" s="1">
        <f t="shared" si="37"/>
        <v>13566371.869642414</v>
      </c>
      <c r="F630" s="1">
        <f t="shared" si="38"/>
        <v>15504424.993877044</v>
      </c>
      <c r="G630" s="1">
        <f t="shared" si="38"/>
        <v>17054867.493264746</v>
      </c>
      <c r="H630" s="1">
        <f t="shared" si="38"/>
        <v>18605309.992652453</v>
      </c>
      <c r="I630" s="1">
        <f t="shared" si="38"/>
        <v>20155752.492040157</v>
      </c>
      <c r="J630" s="1">
        <f t="shared" si="39"/>
        <v>21706194.991427861</v>
      </c>
      <c r="K630" s="1">
        <f t="shared" si="39"/>
        <v>23256637.490815565</v>
      </c>
    </row>
    <row r="631" spans="1:11" x14ac:dyDescent="0.25">
      <c r="A631" t="s">
        <v>685</v>
      </c>
      <c r="B631" t="s">
        <v>686</v>
      </c>
      <c r="C631" t="s">
        <v>687</v>
      </c>
      <c r="D631" s="1">
        <v>3016122</v>
      </c>
      <c r="E631" s="1">
        <f t="shared" si="37"/>
        <v>3292193.6968216272</v>
      </c>
      <c r="F631" s="1">
        <f t="shared" si="38"/>
        <v>3762507.0820818595</v>
      </c>
      <c r="G631" s="1">
        <f t="shared" si="38"/>
        <v>4138757.7902900451</v>
      </c>
      <c r="H631" s="1">
        <f t="shared" si="38"/>
        <v>4515008.4984982312</v>
      </c>
      <c r="I631" s="1">
        <f t="shared" si="38"/>
        <v>4891259.2067064177</v>
      </c>
      <c r="J631" s="1">
        <f t="shared" si="39"/>
        <v>5267509.9149146024</v>
      </c>
      <c r="K631" s="1">
        <f t="shared" si="39"/>
        <v>5643760.623122789</v>
      </c>
    </row>
    <row r="632" spans="1:11" x14ac:dyDescent="0.25">
      <c r="A632" t="s">
        <v>685</v>
      </c>
      <c r="B632" t="s">
        <v>686</v>
      </c>
      <c r="C632" t="s">
        <v>688</v>
      </c>
      <c r="D632" s="1">
        <v>5527149</v>
      </c>
      <c r="E632" s="1">
        <f t="shared" si="37"/>
        <v>6033060.0351026785</v>
      </c>
      <c r="F632" s="1">
        <f t="shared" si="38"/>
        <v>6894925.7544030603</v>
      </c>
      <c r="G632" s="1">
        <f t="shared" si="38"/>
        <v>7584418.3298433656</v>
      </c>
      <c r="H632" s="1">
        <f t="shared" si="38"/>
        <v>8273910.9052836718</v>
      </c>
      <c r="I632" s="1">
        <f t="shared" si="38"/>
        <v>8963403.480723979</v>
      </c>
      <c r="J632" s="1">
        <f t="shared" si="39"/>
        <v>9652896.0561642833</v>
      </c>
      <c r="K632" s="1">
        <f t="shared" si="39"/>
        <v>10342388.63160459</v>
      </c>
    </row>
    <row r="633" spans="1:11" x14ac:dyDescent="0.25">
      <c r="A633" t="s">
        <v>685</v>
      </c>
      <c r="B633" t="s">
        <v>686</v>
      </c>
      <c r="C633" t="s">
        <v>689</v>
      </c>
      <c r="D633" s="1">
        <v>5659110</v>
      </c>
      <c r="E633" s="1">
        <f t="shared" si="37"/>
        <v>6177099.6901386082</v>
      </c>
      <c r="F633" s="1">
        <f t="shared" si="38"/>
        <v>7059542.5030155517</v>
      </c>
      <c r="G633" s="1">
        <f t="shared" si="38"/>
        <v>7765496.7533171056</v>
      </c>
      <c r="H633" s="1">
        <f t="shared" si="38"/>
        <v>8471451.0036186613</v>
      </c>
      <c r="I633" s="1">
        <f t="shared" si="38"/>
        <v>9177405.253920218</v>
      </c>
      <c r="J633" s="1">
        <f t="shared" si="39"/>
        <v>9883359.5042217709</v>
      </c>
      <c r="K633" s="1">
        <f t="shared" si="39"/>
        <v>10589313.754523328</v>
      </c>
    </row>
    <row r="634" spans="1:11" x14ac:dyDescent="0.25">
      <c r="A634" t="s">
        <v>685</v>
      </c>
      <c r="B634" t="s">
        <v>686</v>
      </c>
      <c r="C634" t="s">
        <v>690</v>
      </c>
      <c r="D634" s="1">
        <v>2711413</v>
      </c>
      <c r="E634" s="1">
        <f t="shared" si="37"/>
        <v>2959594.0708234673</v>
      </c>
      <c r="F634" s="1">
        <f t="shared" si="38"/>
        <v>3382393.2237982485</v>
      </c>
      <c r="G634" s="1">
        <f t="shared" si="38"/>
        <v>3720632.5461780732</v>
      </c>
      <c r="H634" s="1">
        <f t="shared" si="38"/>
        <v>4058871.8685578979</v>
      </c>
      <c r="I634" s="1">
        <f t="shared" si="38"/>
        <v>4397111.190937723</v>
      </c>
      <c r="J634" s="1">
        <f t="shared" si="39"/>
        <v>4735350.5133175477</v>
      </c>
      <c r="K634" s="1">
        <f t="shared" si="39"/>
        <v>5073589.8356973724</v>
      </c>
    </row>
    <row r="635" spans="1:11" x14ac:dyDescent="0.25">
      <c r="A635" t="s">
        <v>685</v>
      </c>
      <c r="B635" t="s">
        <v>686</v>
      </c>
      <c r="C635" t="s">
        <v>691</v>
      </c>
      <c r="D635" s="1">
        <v>9017586</v>
      </c>
      <c r="E635" s="1">
        <f t="shared" si="37"/>
        <v>9842983.7353220284</v>
      </c>
      <c r="F635" s="1">
        <f t="shared" si="38"/>
        <v>11249124.268939462</v>
      </c>
      <c r="G635" s="1">
        <f t="shared" si="38"/>
        <v>12374036.695833407</v>
      </c>
      <c r="H635" s="1">
        <f t="shared" si="38"/>
        <v>13498949.122727353</v>
      </c>
      <c r="I635" s="1">
        <f t="shared" si="38"/>
        <v>14623861.549621301</v>
      </c>
      <c r="J635" s="1">
        <f t="shared" si="39"/>
        <v>15748773.976515245</v>
      </c>
      <c r="K635" s="1">
        <f t="shared" si="39"/>
        <v>16873686.40340919</v>
      </c>
    </row>
    <row r="636" spans="1:11" x14ac:dyDescent="0.25">
      <c r="A636" t="s">
        <v>685</v>
      </c>
      <c r="B636" t="s">
        <v>686</v>
      </c>
      <c r="C636" t="s">
        <v>692</v>
      </c>
      <c r="D636" s="1">
        <v>6374582</v>
      </c>
      <c r="E636" s="1">
        <f t="shared" si="37"/>
        <v>6958060.2774929535</v>
      </c>
      <c r="F636" s="1">
        <f t="shared" si="38"/>
        <v>7952068.888563375</v>
      </c>
      <c r="G636" s="1">
        <f t="shared" si="38"/>
        <v>8747275.7774197124</v>
      </c>
      <c r="H636" s="1">
        <f t="shared" si="38"/>
        <v>9542482.6662760489</v>
      </c>
      <c r="I636" s="1">
        <f t="shared" si="38"/>
        <v>10337689.555132387</v>
      </c>
      <c r="J636" s="1">
        <f t="shared" si="39"/>
        <v>11132896.443988724</v>
      </c>
      <c r="K636" s="1">
        <f t="shared" si="39"/>
        <v>11928103.332845062</v>
      </c>
    </row>
    <row r="637" spans="1:11" x14ac:dyDescent="0.25">
      <c r="A637" t="s">
        <v>685</v>
      </c>
      <c r="B637" t="s">
        <v>686</v>
      </c>
      <c r="C637" t="s">
        <v>693</v>
      </c>
      <c r="D637" s="1">
        <v>5010047</v>
      </c>
      <c r="E637" s="1">
        <f t="shared" si="37"/>
        <v>5468626.6517667733</v>
      </c>
      <c r="F637" s="1">
        <f t="shared" si="38"/>
        <v>6249859.0305905975</v>
      </c>
      <c r="G637" s="1">
        <f t="shared" si="38"/>
        <v>6874844.9336496564</v>
      </c>
      <c r="H637" s="1">
        <f t="shared" si="38"/>
        <v>7499830.8367087161</v>
      </c>
      <c r="I637" s="1">
        <f t="shared" si="38"/>
        <v>8124816.7397677768</v>
      </c>
      <c r="J637" s="1">
        <f t="shared" si="39"/>
        <v>8749802.6428268347</v>
      </c>
      <c r="K637" s="1">
        <f t="shared" si="39"/>
        <v>9374788.5458858963</v>
      </c>
    </row>
    <row r="638" spans="1:11" x14ac:dyDescent="0.25">
      <c r="A638" t="s">
        <v>685</v>
      </c>
      <c r="B638" t="s">
        <v>686</v>
      </c>
      <c r="C638" t="s">
        <v>694</v>
      </c>
      <c r="D638" s="1">
        <v>2815274</v>
      </c>
      <c r="E638" s="1">
        <f t="shared" si="37"/>
        <v>3072961.6764924661</v>
      </c>
      <c r="F638" s="1">
        <f t="shared" si="38"/>
        <v>3511956.2017056751</v>
      </c>
      <c r="G638" s="1">
        <f t="shared" si="38"/>
        <v>3863151.8218762423</v>
      </c>
      <c r="H638" s="1">
        <f t="shared" si="38"/>
        <v>4214347.4420468099</v>
      </c>
      <c r="I638" s="1">
        <f t="shared" si="38"/>
        <v>4565543.0622173781</v>
      </c>
      <c r="J638" s="1">
        <f t="shared" si="39"/>
        <v>4916738.6823879452</v>
      </c>
      <c r="K638" s="1">
        <f t="shared" si="39"/>
        <v>5267934.3025585124</v>
      </c>
    </row>
    <row r="639" spans="1:11" x14ac:dyDescent="0.25">
      <c r="A639" t="s">
        <v>685</v>
      </c>
      <c r="B639" t="s">
        <v>686</v>
      </c>
      <c r="C639" t="s">
        <v>695</v>
      </c>
      <c r="D639" s="1">
        <v>3707122</v>
      </c>
      <c r="E639" s="1">
        <f t="shared" si="37"/>
        <v>4046442.3129265937</v>
      </c>
      <c r="F639" s="1">
        <f t="shared" si="38"/>
        <v>4624505.5004875353</v>
      </c>
      <c r="G639" s="1">
        <f t="shared" si="38"/>
        <v>5086956.0505362889</v>
      </c>
      <c r="H639" s="1">
        <f t="shared" si="38"/>
        <v>5549406.6005850425</v>
      </c>
      <c r="I639" s="1">
        <f t="shared" si="38"/>
        <v>6011857.1506337961</v>
      </c>
      <c r="J639" s="1">
        <f t="shared" si="39"/>
        <v>6474307.7006825497</v>
      </c>
      <c r="K639" s="1">
        <f t="shared" si="39"/>
        <v>6936758.2507313034</v>
      </c>
    </row>
    <row r="640" spans="1:11" x14ac:dyDescent="0.25">
      <c r="A640" t="s">
        <v>685</v>
      </c>
      <c r="B640" t="s">
        <v>686</v>
      </c>
      <c r="C640" t="s">
        <v>696</v>
      </c>
      <c r="D640" s="1">
        <v>2130385</v>
      </c>
      <c r="E640" s="1">
        <f t="shared" si="37"/>
        <v>2325383.4124758025</v>
      </c>
      <c r="F640" s="1">
        <f t="shared" si="38"/>
        <v>2657581.0428294884</v>
      </c>
      <c r="G640" s="1">
        <f t="shared" si="38"/>
        <v>2923339.1471124371</v>
      </c>
      <c r="H640" s="1">
        <f t="shared" si="38"/>
        <v>3189097.2513953857</v>
      </c>
      <c r="I640" s="1">
        <f t="shared" si="38"/>
        <v>3454855.3556783348</v>
      </c>
      <c r="J640" s="1">
        <f t="shared" si="39"/>
        <v>3720613.4599612835</v>
      </c>
      <c r="K640" s="1">
        <f t="shared" si="39"/>
        <v>3986371.5642442321</v>
      </c>
    </row>
    <row r="641" spans="1:11" x14ac:dyDescent="0.25">
      <c r="A641" t="s">
        <v>685</v>
      </c>
      <c r="B641" t="s">
        <v>686</v>
      </c>
      <c r="C641" t="s">
        <v>697</v>
      </c>
      <c r="D641" s="1">
        <v>5299508</v>
      </c>
      <c r="E641" s="1">
        <f t="shared" si="37"/>
        <v>5784582.5977383498</v>
      </c>
      <c r="F641" s="1">
        <f t="shared" si="38"/>
        <v>6610951.5402723998</v>
      </c>
      <c r="G641" s="1">
        <f t="shared" si="38"/>
        <v>7272046.6942996392</v>
      </c>
      <c r="H641" s="1">
        <f t="shared" si="38"/>
        <v>7933141.8483268796</v>
      </c>
      <c r="I641" s="1">
        <f t="shared" si="38"/>
        <v>8594237.002354119</v>
      </c>
      <c r="J641" s="1">
        <f t="shared" si="39"/>
        <v>9255332.1563813593</v>
      </c>
      <c r="K641" s="1">
        <f t="shared" si="39"/>
        <v>9916427.3104085997</v>
      </c>
    </row>
    <row r="642" spans="1:11" x14ac:dyDescent="0.25">
      <c r="A642" t="s">
        <v>685</v>
      </c>
      <c r="B642" t="s">
        <v>686</v>
      </c>
      <c r="C642" t="s">
        <v>698</v>
      </c>
      <c r="D642" s="1">
        <v>4597743</v>
      </c>
      <c r="E642" s="1">
        <f t="shared" si="37"/>
        <v>5018583.6395894326</v>
      </c>
      <c r="F642" s="1">
        <f t="shared" si="38"/>
        <v>5735524.1595307803</v>
      </c>
      <c r="G642" s="1">
        <f t="shared" si="38"/>
        <v>6309076.5754838567</v>
      </c>
      <c r="H642" s="1">
        <f t="shared" si="38"/>
        <v>6882628.991436935</v>
      </c>
      <c r="I642" s="1">
        <f t="shared" si="38"/>
        <v>7456181.4073900133</v>
      </c>
      <c r="J642" s="1">
        <f t="shared" si="39"/>
        <v>8029733.8233430907</v>
      </c>
      <c r="K642" s="1">
        <f t="shared" si="39"/>
        <v>8603286.23929617</v>
      </c>
    </row>
    <row r="643" spans="1:11" x14ac:dyDescent="0.25">
      <c r="A643" t="s">
        <v>685</v>
      </c>
      <c r="B643" t="s">
        <v>686</v>
      </c>
      <c r="C643" t="s">
        <v>699</v>
      </c>
      <c r="D643" s="1">
        <v>5190092</v>
      </c>
      <c r="E643" s="1">
        <f t="shared" si="37"/>
        <v>5665151.5317763509</v>
      </c>
      <c r="F643" s="1">
        <f t="shared" si="38"/>
        <v>6474458.8934586868</v>
      </c>
      <c r="G643" s="1">
        <f t="shared" si="38"/>
        <v>7121904.7828045553</v>
      </c>
      <c r="H643" s="1">
        <f t="shared" si="38"/>
        <v>7769350.6721504238</v>
      </c>
      <c r="I643" s="1">
        <f t="shared" ref="I643" si="40">I$1/SUM($D$3:$D$696)*$D643</f>
        <v>8416796.5614962932</v>
      </c>
      <c r="J643" s="1">
        <f t="shared" si="39"/>
        <v>9064242.4508421607</v>
      </c>
      <c r="K643" s="1">
        <f t="shared" si="39"/>
        <v>9711688.3401880302</v>
      </c>
    </row>
    <row r="644" spans="1:11" x14ac:dyDescent="0.25">
      <c r="A644" t="s">
        <v>685</v>
      </c>
      <c r="B644" t="s">
        <v>686</v>
      </c>
      <c r="C644" t="s">
        <v>700</v>
      </c>
      <c r="D644" s="1">
        <v>3389817</v>
      </c>
      <c r="E644" s="1">
        <f t="shared" ref="E644:E696" si="41">$E$1/SUM($D$3:$D$696)*D644</f>
        <v>3700093.7497816063</v>
      </c>
      <c r="F644" s="1">
        <f t="shared" ref="F644:J696" si="42">F$1/SUM($D$3:$D$696)*$D644</f>
        <v>4228678.5711789783</v>
      </c>
      <c r="G644" s="1">
        <f t="shared" si="42"/>
        <v>4651546.4282968761</v>
      </c>
      <c r="H644" s="1">
        <f t="shared" si="42"/>
        <v>5074414.285414774</v>
      </c>
      <c r="I644" s="1">
        <f t="shared" si="42"/>
        <v>5497282.1425326718</v>
      </c>
      <c r="J644" s="1">
        <f t="shared" si="42"/>
        <v>5920149.9996505687</v>
      </c>
      <c r="K644" s="1">
        <f t="shared" ref="K644:K696" si="43">K$1/SUM($D$3:$D$696)*$D644</f>
        <v>6343017.8567684675</v>
      </c>
    </row>
    <row r="645" spans="1:11" x14ac:dyDescent="0.25">
      <c r="A645" t="s">
        <v>685</v>
      </c>
      <c r="B645" t="s">
        <v>686</v>
      </c>
      <c r="C645" t="s">
        <v>701</v>
      </c>
      <c r="D645" s="1">
        <v>6539960</v>
      </c>
      <c r="E645" s="1">
        <f t="shared" si="41"/>
        <v>7138575.6575714005</v>
      </c>
      <c r="F645" s="1">
        <f t="shared" si="42"/>
        <v>8158372.1800816003</v>
      </c>
      <c r="G645" s="1">
        <f t="shared" si="42"/>
        <v>8974209.3980897591</v>
      </c>
      <c r="H645" s="1">
        <f t="shared" si="42"/>
        <v>9790046.6160979196</v>
      </c>
      <c r="I645" s="1">
        <f t="shared" si="42"/>
        <v>10605883.83410608</v>
      </c>
      <c r="J645" s="1">
        <f t="shared" si="42"/>
        <v>11421721.052114239</v>
      </c>
      <c r="K645" s="1">
        <f t="shared" si="43"/>
        <v>12237558.2701224</v>
      </c>
    </row>
    <row r="646" spans="1:11" x14ac:dyDescent="0.25">
      <c r="A646" t="s">
        <v>608</v>
      </c>
      <c r="B646" t="s">
        <v>632</v>
      </c>
      <c r="C646" t="s">
        <v>703</v>
      </c>
      <c r="D646" s="1">
        <v>3531106</v>
      </c>
      <c r="E646" s="1">
        <f t="shared" si="41"/>
        <v>3854315.2153689503</v>
      </c>
      <c r="F646" s="1">
        <f t="shared" si="42"/>
        <v>4404931.6747073717</v>
      </c>
      <c r="G646" s="1">
        <f t="shared" si="42"/>
        <v>4845424.8421781082</v>
      </c>
      <c r="H646" s="1">
        <f t="shared" si="42"/>
        <v>5285918.0096488455</v>
      </c>
      <c r="I646" s="1">
        <f t="shared" si="42"/>
        <v>5726411.1771195829</v>
      </c>
      <c r="J646" s="1">
        <f t="shared" si="42"/>
        <v>6166904.3445903193</v>
      </c>
      <c r="K646" s="1">
        <f t="shared" si="43"/>
        <v>6607397.5120610567</v>
      </c>
    </row>
    <row r="647" spans="1:11" x14ac:dyDescent="0.25">
      <c r="A647" t="s">
        <v>608</v>
      </c>
      <c r="B647" t="s">
        <v>632</v>
      </c>
      <c r="C647" t="s">
        <v>704</v>
      </c>
      <c r="D647" s="1">
        <v>3798610</v>
      </c>
      <c r="E647" s="1">
        <f t="shared" si="41"/>
        <v>4146304.3930860888</v>
      </c>
      <c r="F647" s="1">
        <f t="shared" si="42"/>
        <v>4738633.592098387</v>
      </c>
      <c r="G647" s="1">
        <f t="shared" si="42"/>
        <v>5212496.9513082253</v>
      </c>
      <c r="H647" s="1">
        <f t="shared" si="42"/>
        <v>5686360.3105180645</v>
      </c>
      <c r="I647" s="1">
        <f t="shared" si="42"/>
        <v>6160223.6697279038</v>
      </c>
      <c r="J647" s="1">
        <f t="shared" si="42"/>
        <v>6634087.0289377412</v>
      </c>
      <c r="K647" s="1">
        <f t="shared" si="43"/>
        <v>7107950.3881475804</v>
      </c>
    </row>
    <row r="648" spans="1:11" x14ac:dyDescent="0.25">
      <c r="A648" t="s">
        <v>685</v>
      </c>
      <c r="B648" t="s">
        <v>741</v>
      </c>
      <c r="C648" t="s">
        <v>705</v>
      </c>
      <c r="D648" s="1">
        <v>5156065</v>
      </c>
      <c r="E648" s="1">
        <f t="shared" si="41"/>
        <v>5628009.9722102098</v>
      </c>
      <c r="F648" s="1">
        <f t="shared" si="42"/>
        <v>6432011.3968116688</v>
      </c>
      <c r="G648" s="1">
        <f t="shared" si="42"/>
        <v>7075212.5364928348</v>
      </c>
      <c r="H648" s="1">
        <f t="shared" si="42"/>
        <v>7718413.6761740018</v>
      </c>
      <c r="I648" s="1">
        <f t="shared" si="42"/>
        <v>8361614.8158551687</v>
      </c>
      <c r="J648" s="1">
        <f t="shared" si="42"/>
        <v>9004815.9555363357</v>
      </c>
      <c r="K648" s="1">
        <f t="shared" si="43"/>
        <v>9648017.0952175017</v>
      </c>
    </row>
    <row r="649" spans="1:11" x14ac:dyDescent="0.25">
      <c r="A649" t="s">
        <v>608</v>
      </c>
      <c r="B649" t="s">
        <v>632</v>
      </c>
      <c r="C649" t="s">
        <v>706</v>
      </c>
      <c r="D649" s="1">
        <v>4505945</v>
      </c>
      <c r="E649" s="1">
        <f t="shared" si="41"/>
        <v>4918383.1845080955</v>
      </c>
      <c r="F649" s="1">
        <f t="shared" si="42"/>
        <v>5621009.3537235381</v>
      </c>
      <c r="G649" s="1">
        <f t="shared" si="42"/>
        <v>6183110.2890958907</v>
      </c>
      <c r="H649" s="1">
        <f t="shared" si="42"/>
        <v>6745211.2244682452</v>
      </c>
      <c r="I649" s="1">
        <f t="shared" si="42"/>
        <v>7307312.1598405987</v>
      </c>
      <c r="J649" s="1">
        <f t="shared" si="42"/>
        <v>7869413.0952129522</v>
      </c>
      <c r="K649" s="1">
        <f t="shared" si="43"/>
        <v>8431514.0305853058</v>
      </c>
    </row>
    <row r="650" spans="1:11" x14ac:dyDescent="0.25">
      <c r="A650" t="s">
        <v>685</v>
      </c>
      <c r="B650" t="s">
        <v>741</v>
      </c>
      <c r="C650" t="s">
        <v>707</v>
      </c>
      <c r="D650" s="1">
        <v>4060752</v>
      </c>
      <c r="E650" s="1">
        <f t="shared" si="41"/>
        <v>4432440.7761873743</v>
      </c>
      <c r="F650" s="1">
        <f t="shared" si="42"/>
        <v>5065646.601356999</v>
      </c>
      <c r="G650" s="1">
        <f t="shared" si="42"/>
        <v>5572211.2614926985</v>
      </c>
      <c r="H650" s="1">
        <f t="shared" si="42"/>
        <v>6078775.9216283988</v>
      </c>
      <c r="I650" s="1">
        <f t="shared" si="42"/>
        <v>6585340.5817640992</v>
      </c>
      <c r="J650" s="1">
        <f t="shared" si="42"/>
        <v>7091905.2418997977</v>
      </c>
      <c r="K650" s="1">
        <f t="shared" si="43"/>
        <v>7598469.9020354981</v>
      </c>
    </row>
    <row r="651" spans="1:11" x14ac:dyDescent="0.25">
      <c r="A651" t="s">
        <v>608</v>
      </c>
      <c r="B651" t="s">
        <v>632</v>
      </c>
      <c r="C651" t="s">
        <v>708</v>
      </c>
      <c r="D651" s="1">
        <v>8340933</v>
      </c>
      <c r="E651" s="1">
        <f t="shared" si="41"/>
        <v>9104395.3289062921</v>
      </c>
      <c r="F651" s="1">
        <f t="shared" si="42"/>
        <v>10405023.233035762</v>
      </c>
      <c r="G651" s="1">
        <f t="shared" si="42"/>
        <v>11445525.556339338</v>
      </c>
      <c r="H651" s="1">
        <f t="shared" si="42"/>
        <v>12486027.879642915</v>
      </c>
      <c r="I651" s="1">
        <f t="shared" si="42"/>
        <v>13526530.202946492</v>
      </c>
      <c r="J651" s="1">
        <f t="shared" si="42"/>
        <v>14567032.526250066</v>
      </c>
      <c r="K651" s="1">
        <f t="shared" si="43"/>
        <v>15607534.849553643</v>
      </c>
    </row>
    <row r="652" spans="1:11" x14ac:dyDescent="0.25">
      <c r="A652" t="s">
        <v>608</v>
      </c>
      <c r="B652" t="s">
        <v>770</v>
      </c>
      <c r="C652" t="s">
        <v>709</v>
      </c>
      <c r="D652" s="1">
        <v>2568907</v>
      </c>
      <c r="E652" s="1">
        <f t="shared" si="41"/>
        <v>2804044.2107848939</v>
      </c>
      <c r="F652" s="1">
        <f t="shared" si="42"/>
        <v>3204621.9551827358</v>
      </c>
      <c r="G652" s="1">
        <f t="shared" si="42"/>
        <v>3525084.1507010087</v>
      </c>
      <c r="H652" s="1">
        <f t="shared" si="42"/>
        <v>3845546.3462192826</v>
      </c>
      <c r="I652" s="1">
        <f t="shared" si="42"/>
        <v>4166008.5417375565</v>
      </c>
      <c r="J652" s="1">
        <f t="shared" si="42"/>
        <v>4486470.7372558294</v>
      </c>
      <c r="K652" s="1">
        <f t="shared" si="43"/>
        <v>4806932.9327741032</v>
      </c>
    </row>
    <row r="653" spans="1:11" x14ac:dyDescent="0.25">
      <c r="A653" t="s">
        <v>608</v>
      </c>
      <c r="B653" t="s">
        <v>770</v>
      </c>
      <c r="C653" t="s">
        <v>710</v>
      </c>
      <c r="D653" s="1">
        <v>2363257</v>
      </c>
      <c r="E653" s="1">
        <f t="shared" si="41"/>
        <v>2579570.6537632057</v>
      </c>
      <c r="F653" s="1">
        <f t="shared" si="42"/>
        <v>2948080.7471579495</v>
      </c>
      <c r="G653" s="1">
        <f t="shared" si="42"/>
        <v>3242888.821873744</v>
      </c>
      <c r="H653" s="1">
        <f t="shared" si="42"/>
        <v>3537696.896589539</v>
      </c>
      <c r="I653" s="1">
        <f t="shared" si="42"/>
        <v>3832504.9713053345</v>
      </c>
      <c r="J653" s="1">
        <f t="shared" si="42"/>
        <v>4127313.046021129</v>
      </c>
      <c r="K653" s="1">
        <f t="shared" si="43"/>
        <v>4422121.120736924</v>
      </c>
    </row>
    <row r="654" spans="1:11" x14ac:dyDescent="0.25">
      <c r="A654" t="s">
        <v>608</v>
      </c>
      <c r="B654" t="s">
        <v>632</v>
      </c>
      <c r="C654" t="s">
        <v>711</v>
      </c>
      <c r="D654" s="1">
        <v>4573483</v>
      </c>
      <c r="E654" s="1">
        <f t="shared" si="41"/>
        <v>4992103.073125313</v>
      </c>
      <c r="F654" s="1">
        <f t="shared" si="42"/>
        <v>5705260.6550003579</v>
      </c>
      <c r="G654" s="1">
        <f t="shared" si="42"/>
        <v>6275786.7205003928</v>
      </c>
      <c r="H654" s="1">
        <f t="shared" si="42"/>
        <v>6846312.7860004287</v>
      </c>
      <c r="I654" s="1">
        <f t="shared" si="42"/>
        <v>7416838.8515004646</v>
      </c>
      <c r="J654" s="1">
        <f t="shared" si="42"/>
        <v>7987364.9170004996</v>
      </c>
      <c r="K654" s="1">
        <f t="shared" si="43"/>
        <v>8557890.9825005364</v>
      </c>
    </row>
    <row r="655" spans="1:11" x14ac:dyDescent="0.25">
      <c r="A655" t="s">
        <v>685</v>
      </c>
      <c r="B655" t="s">
        <v>741</v>
      </c>
      <c r="C655" t="s">
        <v>712</v>
      </c>
      <c r="D655" s="1">
        <v>3699251</v>
      </c>
      <c r="E655" s="1">
        <f t="shared" si="41"/>
        <v>4037850.8645078354</v>
      </c>
      <c r="F655" s="1">
        <f t="shared" si="42"/>
        <v>4614686.7022946691</v>
      </c>
      <c r="G655" s="1">
        <f t="shared" si="42"/>
        <v>5076155.3725241348</v>
      </c>
      <c r="H655" s="1">
        <f t="shared" si="42"/>
        <v>5537624.0427536024</v>
      </c>
      <c r="I655" s="1">
        <f t="shared" si="42"/>
        <v>5999092.712983069</v>
      </c>
      <c r="J655" s="1">
        <f t="shared" si="42"/>
        <v>6460561.3832125356</v>
      </c>
      <c r="K655" s="1">
        <f t="shared" si="43"/>
        <v>6922030.0534420023</v>
      </c>
    </row>
    <row r="656" spans="1:11" x14ac:dyDescent="0.25">
      <c r="A656" t="s">
        <v>608</v>
      </c>
      <c r="B656" t="s">
        <v>632</v>
      </c>
      <c r="C656" t="s">
        <v>713</v>
      </c>
      <c r="D656" s="1">
        <v>3176124</v>
      </c>
      <c r="E656" s="1">
        <f t="shared" si="41"/>
        <v>3466841.0008361377</v>
      </c>
      <c r="F656" s="1">
        <f t="shared" si="42"/>
        <v>3962104.0009555859</v>
      </c>
      <c r="G656" s="1">
        <f t="shared" si="42"/>
        <v>4358314.4010511441</v>
      </c>
      <c r="H656" s="1">
        <f t="shared" si="42"/>
        <v>4754524.8011467028</v>
      </c>
      <c r="I656" s="1">
        <f t="shared" si="42"/>
        <v>5150735.2012422616</v>
      </c>
      <c r="J656" s="1">
        <f t="shared" si="42"/>
        <v>5546945.6013378194</v>
      </c>
      <c r="K656" s="1">
        <f t="shared" si="43"/>
        <v>5943156.001433379</v>
      </c>
    </row>
    <row r="657" spans="1:11" x14ac:dyDescent="0.25">
      <c r="A657" t="s">
        <v>685</v>
      </c>
      <c r="B657" t="s">
        <v>714</v>
      </c>
      <c r="C657" t="s">
        <v>715</v>
      </c>
      <c r="D657" s="1">
        <v>4757674</v>
      </c>
      <c r="E657" s="1">
        <f t="shared" si="41"/>
        <v>5193153.4448315213</v>
      </c>
      <c r="F657" s="1">
        <f t="shared" si="42"/>
        <v>5935032.508378881</v>
      </c>
      <c r="G657" s="1">
        <f t="shared" si="42"/>
        <v>6528535.7592167687</v>
      </c>
      <c r="H657" s="1">
        <f t="shared" si="42"/>
        <v>7122039.0100546572</v>
      </c>
      <c r="I657" s="1">
        <f t="shared" si="42"/>
        <v>7715542.2608925458</v>
      </c>
      <c r="J657" s="1">
        <f t="shared" si="42"/>
        <v>8309045.5117304334</v>
      </c>
      <c r="K657" s="1">
        <f t="shared" si="43"/>
        <v>8902548.7625683211</v>
      </c>
    </row>
    <row r="658" spans="1:11" x14ac:dyDescent="0.25">
      <c r="A658" t="s">
        <v>685</v>
      </c>
      <c r="B658" t="s">
        <v>714</v>
      </c>
      <c r="C658" t="s">
        <v>716</v>
      </c>
      <c r="D658" s="1">
        <v>3313716</v>
      </c>
      <c r="E658" s="1">
        <f t="shared" si="41"/>
        <v>3617027.072597519</v>
      </c>
      <c r="F658" s="1">
        <f t="shared" si="42"/>
        <v>4133745.2258257363</v>
      </c>
      <c r="G658" s="1">
        <f t="shared" si="42"/>
        <v>4547119.7484083092</v>
      </c>
      <c r="H658" s="1">
        <f t="shared" si="42"/>
        <v>4960494.270990883</v>
      </c>
      <c r="I658" s="1">
        <f t="shared" si="42"/>
        <v>5373868.7935734568</v>
      </c>
      <c r="J658" s="1">
        <f t="shared" si="42"/>
        <v>5787243.3161560297</v>
      </c>
      <c r="K658" s="1">
        <f t="shared" si="43"/>
        <v>6200617.8387386035</v>
      </c>
    </row>
    <row r="659" spans="1:11" x14ac:dyDescent="0.25">
      <c r="A659" t="s">
        <v>685</v>
      </c>
      <c r="B659" t="s">
        <v>714</v>
      </c>
      <c r="C659" t="s">
        <v>717</v>
      </c>
      <c r="D659" s="1">
        <v>1480663</v>
      </c>
      <c r="E659" s="1">
        <f t="shared" si="41"/>
        <v>1616191.0545120526</v>
      </c>
      <c r="F659" s="1">
        <f t="shared" si="42"/>
        <v>1847075.4908709172</v>
      </c>
      <c r="G659" s="1">
        <f t="shared" si="42"/>
        <v>2031783.0399580086</v>
      </c>
      <c r="H659" s="1">
        <f t="shared" si="42"/>
        <v>2216490.5890451004</v>
      </c>
      <c r="I659" s="1">
        <f t="shared" si="42"/>
        <v>2401198.1381321922</v>
      </c>
      <c r="J659" s="1">
        <f t="shared" si="42"/>
        <v>2585905.6872192835</v>
      </c>
      <c r="K659" s="1">
        <f t="shared" si="43"/>
        <v>2770613.2363063754</v>
      </c>
    </row>
    <row r="660" spans="1:11" x14ac:dyDescent="0.25">
      <c r="A660" t="s">
        <v>685</v>
      </c>
      <c r="B660" t="s">
        <v>714</v>
      </c>
      <c r="C660" t="s">
        <v>718</v>
      </c>
      <c r="D660" s="1">
        <v>9365553</v>
      </c>
      <c r="E660" s="1">
        <f t="shared" si="41"/>
        <v>10222800.852833169</v>
      </c>
      <c r="F660" s="1">
        <f t="shared" si="42"/>
        <v>11683200.974666478</v>
      </c>
      <c r="G660" s="1">
        <f t="shared" si="42"/>
        <v>12851521.072133124</v>
      </c>
      <c r="H660" s="1">
        <f t="shared" si="42"/>
        <v>14019841.169599771</v>
      </c>
      <c r="I660" s="1">
        <f t="shared" si="42"/>
        <v>15188161.267066421</v>
      </c>
      <c r="J660" s="1">
        <f t="shared" si="42"/>
        <v>16356481.364533067</v>
      </c>
      <c r="K660" s="1">
        <f t="shared" si="43"/>
        <v>17524801.461999714</v>
      </c>
    </row>
    <row r="661" spans="1:11" x14ac:dyDescent="0.25">
      <c r="A661" t="s">
        <v>685</v>
      </c>
      <c r="B661" t="s">
        <v>714</v>
      </c>
      <c r="C661" t="s">
        <v>719</v>
      </c>
      <c r="D661" s="1">
        <v>8770820</v>
      </c>
      <c r="E661" s="1">
        <f t="shared" si="41"/>
        <v>9573630.7483440861</v>
      </c>
      <c r="F661" s="1">
        <f t="shared" si="42"/>
        <v>10941292.283821814</v>
      </c>
      <c r="G661" s="1">
        <f t="shared" si="42"/>
        <v>12035421.512203993</v>
      </c>
      <c r="H661" s="1">
        <f t="shared" si="42"/>
        <v>13129550.740586175</v>
      </c>
      <c r="I661" s="1">
        <f t="shared" si="42"/>
        <v>14223679.968968356</v>
      </c>
      <c r="J661" s="1">
        <f t="shared" si="42"/>
        <v>15317809.197350537</v>
      </c>
      <c r="K661" s="1">
        <f t="shared" si="43"/>
        <v>16411938.425732719</v>
      </c>
    </row>
    <row r="662" spans="1:11" x14ac:dyDescent="0.25">
      <c r="A662" t="s">
        <v>685</v>
      </c>
      <c r="B662" t="s">
        <v>714</v>
      </c>
      <c r="C662" t="s">
        <v>720</v>
      </c>
      <c r="D662" s="1">
        <v>3463205</v>
      </c>
      <c r="E662" s="1">
        <f t="shared" si="41"/>
        <v>3780199.100633576</v>
      </c>
      <c r="F662" s="1">
        <f t="shared" si="42"/>
        <v>4320227.5435812296</v>
      </c>
      <c r="G662" s="1">
        <f t="shared" si="42"/>
        <v>4752250.2979393527</v>
      </c>
      <c r="H662" s="1">
        <f t="shared" si="42"/>
        <v>5184273.0522974757</v>
      </c>
      <c r="I662" s="1">
        <f t="shared" si="42"/>
        <v>5616295.8066555988</v>
      </c>
      <c r="J662" s="1">
        <f t="shared" si="42"/>
        <v>6048318.5610137209</v>
      </c>
      <c r="K662" s="1">
        <f t="shared" si="43"/>
        <v>6480341.315371844</v>
      </c>
    </row>
    <row r="663" spans="1:11" x14ac:dyDescent="0.25">
      <c r="A663" t="s">
        <v>685</v>
      </c>
      <c r="B663" t="s">
        <v>714</v>
      </c>
      <c r="C663" t="s">
        <v>721</v>
      </c>
      <c r="D663" s="1">
        <v>12324654</v>
      </c>
      <c r="E663" s="1">
        <f t="shared" si="41"/>
        <v>13452754.303144054</v>
      </c>
      <c r="F663" s="1">
        <f t="shared" si="42"/>
        <v>15374576.346450349</v>
      </c>
      <c r="G663" s="1">
        <f t="shared" si="42"/>
        <v>16912033.981095381</v>
      </c>
      <c r="H663" s="1">
        <f t="shared" si="42"/>
        <v>18449491.615740418</v>
      </c>
      <c r="I663" s="1">
        <f t="shared" si="42"/>
        <v>19986949.250385452</v>
      </c>
      <c r="J663" s="1">
        <f t="shared" si="42"/>
        <v>21524406.885030486</v>
      </c>
      <c r="K663" s="1">
        <f t="shared" si="43"/>
        <v>23061864.519675523</v>
      </c>
    </row>
    <row r="664" spans="1:11" x14ac:dyDescent="0.25">
      <c r="A664" t="s">
        <v>685</v>
      </c>
      <c r="B664" t="s">
        <v>714</v>
      </c>
      <c r="C664" t="s">
        <v>722</v>
      </c>
      <c r="D664" s="1">
        <v>6007366</v>
      </c>
      <c r="E664" s="1">
        <f t="shared" si="41"/>
        <v>6557232.2603994636</v>
      </c>
      <c r="F664" s="1">
        <f t="shared" si="42"/>
        <v>7493979.7261708155</v>
      </c>
      <c r="G664" s="1">
        <f t="shared" si="42"/>
        <v>8243377.698787896</v>
      </c>
      <c r="H664" s="1">
        <f t="shared" si="42"/>
        <v>8992775.6714049783</v>
      </c>
      <c r="I664" s="1">
        <f t="shared" si="42"/>
        <v>9742173.6440220606</v>
      </c>
      <c r="J664" s="1">
        <f t="shared" si="42"/>
        <v>10491571.616639141</v>
      </c>
      <c r="K664" s="1">
        <f t="shared" si="43"/>
        <v>11240969.589256221</v>
      </c>
    </row>
    <row r="665" spans="1:11" x14ac:dyDescent="0.25">
      <c r="A665" t="s">
        <v>685</v>
      </c>
      <c r="B665" t="s">
        <v>714</v>
      </c>
      <c r="C665" t="s">
        <v>723</v>
      </c>
      <c r="D665" s="1">
        <v>10559831</v>
      </c>
      <c r="E665" s="1">
        <f t="shared" si="41"/>
        <v>11526393.513823917</v>
      </c>
      <c r="F665" s="1">
        <f t="shared" si="42"/>
        <v>13173021.158655904</v>
      </c>
      <c r="G665" s="1">
        <f t="shared" si="42"/>
        <v>14490323.274521494</v>
      </c>
      <c r="H665" s="1">
        <f t="shared" si="42"/>
        <v>15807625.390387084</v>
      </c>
      <c r="I665" s="1">
        <f t="shared" si="42"/>
        <v>17124927.506252676</v>
      </c>
      <c r="J665" s="1">
        <f t="shared" si="42"/>
        <v>18442229.622118264</v>
      </c>
      <c r="K665" s="1">
        <f t="shared" si="43"/>
        <v>19759531.737983856</v>
      </c>
    </row>
    <row r="666" spans="1:11" x14ac:dyDescent="0.25">
      <c r="A666" t="s">
        <v>685</v>
      </c>
      <c r="B666" t="s">
        <v>714</v>
      </c>
      <c r="C666" t="s">
        <v>724</v>
      </c>
      <c r="D666" s="1">
        <v>4637226</v>
      </c>
      <c r="E666" s="1">
        <f t="shared" si="41"/>
        <v>5061680.5977799855</v>
      </c>
      <c r="F666" s="1">
        <f t="shared" si="42"/>
        <v>5784777.8260342693</v>
      </c>
      <c r="G666" s="1">
        <f t="shared" si="42"/>
        <v>6363255.6086376961</v>
      </c>
      <c r="H666" s="1">
        <f t="shared" si="42"/>
        <v>6941733.391241123</v>
      </c>
      <c r="I666" s="1">
        <f t="shared" si="42"/>
        <v>7520211.1738445498</v>
      </c>
      <c r="J666" s="1">
        <f t="shared" si="42"/>
        <v>8098688.9564479766</v>
      </c>
      <c r="K666" s="1">
        <f t="shared" si="43"/>
        <v>8677166.7390514035</v>
      </c>
    </row>
    <row r="667" spans="1:11" x14ac:dyDescent="0.25">
      <c r="A667" t="s">
        <v>685</v>
      </c>
      <c r="B667" t="s">
        <v>714</v>
      </c>
      <c r="C667" t="s">
        <v>725</v>
      </c>
      <c r="D667" s="1">
        <v>6629343</v>
      </c>
      <c r="E667" s="1">
        <f t="shared" si="41"/>
        <v>7236140.0628583906</v>
      </c>
      <c r="F667" s="1">
        <f t="shared" si="42"/>
        <v>8269874.3575524464</v>
      </c>
      <c r="G667" s="1">
        <f t="shared" si="42"/>
        <v>9096861.7933076899</v>
      </c>
      <c r="H667" s="1">
        <f t="shared" si="42"/>
        <v>9923849.2290629353</v>
      </c>
      <c r="I667" s="1">
        <f t="shared" si="42"/>
        <v>10750836.664818181</v>
      </c>
      <c r="J667" s="1">
        <f t="shared" si="42"/>
        <v>11577824.100573424</v>
      </c>
      <c r="K667" s="1">
        <f t="shared" si="43"/>
        <v>12404811.53632867</v>
      </c>
    </row>
    <row r="668" spans="1:11" x14ac:dyDescent="0.25">
      <c r="A668" t="s">
        <v>685</v>
      </c>
      <c r="B668" t="s">
        <v>714</v>
      </c>
      <c r="C668" t="s">
        <v>726</v>
      </c>
      <c r="D668" s="1">
        <v>4618158</v>
      </c>
      <c r="E668" s="1">
        <f t="shared" si="41"/>
        <v>5040867.2654907098</v>
      </c>
      <c r="F668" s="1">
        <f t="shared" si="42"/>
        <v>5760991.1605608119</v>
      </c>
      <c r="G668" s="1">
        <f t="shared" si="42"/>
        <v>6337090.2766168918</v>
      </c>
      <c r="H668" s="1">
        <f t="shared" si="42"/>
        <v>6913189.3926729737</v>
      </c>
      <c r="I668" s="1">
        <f t="shared" si="42"/>
        <v>7489288.5087290546</v>
      </c>
      <c r="J668" s="1">
        <f t="shared" si="42"/>
        <v>8065387.6247851355</v>
      </c>
      <c r="K668" s="1">
        <f t="shared" si="43"/>
        <v>8641486.7408412173</v>
      </c>
    </row>
    <row r="669" spans="1:11" x14ac:dyDescent="0.25">
      <c r="A669" t="s">
        <v>685</v>
      </c>
      <c r="B669" t="s">
        <v>727</v>
      </c>
      <c r="C669" t="s">
        <v>728</v>
      </c>
      <c r="D669" s="1">
        <v>6882362</v>
      </c>
      <c r="E669" s="1">
        <f t="shared" si="41"/>
        <v>7512318.3994694799</v>
      </c>
      <c r="F669" s="1">
        <f t="shared" si="42"/>
        <v>8585506.7422508337</v>
      </c>
      <c r="G669" s="1">
        <f t="shared" si="42"/>
        <v>9444057.4164759163</v>
      </c>
      <c r="H669" s="1">
        <f t="shared" si="42"/>
        <v>10302608.090701001</v>
      </c>
      <c r="I669" s="1">
        <f t="shared" si="42"/>
        <v>11161158.764926085</v>
      </c>
      <c r="J669" s="1">
        <f t="shared" si="42"/>
        <v>12019709.439151166</v>
      </c>
      <c r="K669" s="1">
        <f t="shared" si="43"/>
        <v>12878260.11337625</v>
      </c>
    </row>
    <row r="670" spans="1:11" x14ac:dyDescent="0.25">
      <c r="A670" t="s">
        <v>685</v>
      </c>
      <c r="B670" t="s">
        <v>727</v>
      </c>
      <c r="C670" t="s">
        <v>729</v>
      </c>
      <c r="D670" s="1">
        <v>2955364</v>
      </c>
      <c r="E670" s="1">
        <f t="shared" si="41"/>
        <v>3225874.395204687</v>
      </c>
      <c r="F670" s="1">
        <f t="shared" si="42"/>
        <v>3686713.5945196422</v>
      </c>
      <c r="G670" s="1">
        <f t="shared" si="42"/>
        <v>4055384.9539716062</v>
      </c>
      <c r="H670" s="1">
        <f t="shared" si="42"/>
        <v>4424056.3134235702</v>
      </c>
      <c r="I670" s="1">
        <f t="shared" si="42"/>
        <v>4792727.6728755347</v>
      </c>
      <c r="J670" s="1">
        <f t="shared" si="42"/>
        <v>5161399.0323274983</v>
      </c>
      <c r="K670" s="1">
        <f t="shared" si="43"/>
        <v>5530070.3917794628</v>
      </c>
    </row>
    <row r="671" spans="1:11" x14ac:dyDescent="0.25">
      <c r="A671" t="s">
        <v>685</v>
      </c>
      <c r="B671" t="s">
        <v>727</v>
      </c>
      <c r="C671" t="s">
        <v>730</v>
      </c>
      <c r="D671" s="1">
        <v>7614104</v>
      </c>
      <c r="E671" s="1">
        <f t="shared" si="41"/>
        <v>8311038.2125604795</v>
      </c>
      <c r="F671" s="1">
        <f t="shared" si="42"/>
        <v>9498329.3857834041</v>
      </c>
      <c r="G671" s="1">
        <f t="shared" si="42"/>
        <v>10448162.324361743</v>
      </c>
      <c r="H671" s="1">
        <f t="shared" si="42"/>
        <v>11397995.262940085</v>
      </c>
      <c r="I671" s="1">
        <f t="shared" si="42"/>
        <v>12347828.201518426</v>
      </c>
      <c r="J671" s="1">
        <f t="shared" si="42"/>
        <v>13297661.140096765</v>
      </c>
      <c r="K671" s="1">
        <f t="shared" si="43"/>
        <v>14247494.078675106</v>
      </c>
    </row>
    <row r="672" spans="1:11" x14ac:dyDescent="0.25">
      <c r="A672" t="s">
        <v>685</v>
      </c>
      <c r="B672" t="s">
        <v>727</v>
      </c>
      <c r="C672" t="s">
        <v>731</v>
      </c>
      <c r="D672" s="1">
        <v>3322853</v>
      </c>
      <c r="E672" s="1">
        <f t="shared" si="41"/>
        <v>3627000.4005357986</v>
      </c>
      <c r="F672" s="1">
        <f t="shared" si="42"/>
        <v>4145143.3148980555</v>
      </c>
      <c r="G672" s="1">
        <f t="shared" si="42"/>
        <v>4559657.6463878602</v>
      </c>
      <c r="H672" s="1">
        <f t="shared" si="42"/>
        <v>4974171.9778776662</v>
      </c>
      <c r="I672" s="1">
        <f t="shared" si="42"/>
        <v>5388686.3093674723</v>
      </c>
      <c r="J672" s="1">
        <f t="shared" si="42"/>
        <v>5803200.6408572774</v>
      </c>
      <c r="K672" s="1">
        <f t="shared" si="43"/>
        <v>6217714.9723470826</v>
      </c>
    </row>
    <row r="673" spans="1:11" x14ac:dyDescent="0.25">
      <c r="A673" t="s">
        <v>685</v>
      </c>
      <c r="B673" t="s">
        <v>714</v>
      </c>
      <c r="C673" t="s">
        <v>732</v>
      </c>
      <c r="D673" s="1">
        <v>3904230</v>
      </c>
      <c r="E673" s="1">
        <f t="shared" si="41"/>
        <v>4261592.0035535367</v>
      </c>
      <c r="F673" s="1">
        <f t="shared" si="42"/>
        <v>4870390.8612040421</v>
      </c>
      <c r="G673" s="1">
        <f t="shared" si="42"/>
        <v>5357429.9473244455</v>
      </c>
      <c r="H673" s="1">
        <f t="shared" si="42"/>
        <v>5844469.0334448507</v>
      </c>
      <c r="I673" s="1">
        <f t="shared" si="42"/>
        <v>6331508.119565255</v>
      </c>
      <c r="J673" s="1">
        <f t="shared" si="42"/>
        <v>6818547.2056856584</v>
      </c>
      <c r="K673" s="1">
        <f t="shared" si="43"/>
        <v>7305586.2918060627</v>
      </c>
    </row>
    <row r="674" spans="1:11" x14ac:dyDescent="0.25">
      <c r="A674" t="s">
        <v>685</v>
      </c>
      <c r="B674" t="s">
        <v>727</v>
      </c>
      <c r="C674" t="s">
        <v>733</v>
      </c>
      <c r="D674" s="1">
        <v>4171689</v>
      </c>
      <c r="E674" s="1">
        <f t="shared" si="41"/>
        <v>4553532.062330409</v>
      </c>
      <c r="F674" s="1">
        <f t="shared" si="42"/>
        <v>5204036.6426633243</v>
      </c>
      <c r="G674" s="1">
        <f t="shared" si="42"/>
        <v>5724440.3069296554</v>
      </c>
      <c r="H674" s="1">
        <f t="shared" si="42"/>
        <v>6244843.9711959884</v>
      </c>
      <c r="I674" s="1">
        <f t="shared" si="42"/>
        <v>6765247.6354623213</v>
      </c>
      <c r="J674" s="1">
        <f t="shared" si="42"/>
        <v>7285651.2997286534</v>
      </c>
      <c r="K674" s="1">
        <f t="shared" si="43"/>
        <v>7806054.9639949854</v>
      </c>
    </row>
    <row r="675" spans="1:11" x14ac:dyDescent="0.25">
      <c r="A675" t="s">
        <v>685</v>
      </c>
      <c r="B675" t="s">
        <v>727</v>
      </c>
      <c r="C675" t="s">
        <v>734</v>
      </c>
      <c r="D675" s="1">
        <v>2437527</v>
      </c>
      <c r="E675" s="1">
        <f t="shared" si="41"/>
        <v>2660638.7358444156</v>
      </c>
      <c r="F675" s="1">
        <f t="shared" si="42"/>
        <v>3040729.9838221893</v>
      </c>
      <c r="G675" s="1">
        <f t="shared" si="42"/>
        <v>3344802.9822044075</v>
      </c>
      <c r="H675" s="1">
        <f t="shared" si="42"/>
        <v>3648875.9805866266</v>
      </c>
      <c r="I675" s="1">
        <f t="shared" si="42"/>
        <v>3952948.9789688457</v>
      </c>
      <c r="J675" s="1">
        <f t="shared" si="42"/>
        <v>4257021.9773510648</v>
      </c>
      <c r="K675" s="1">
        <f t="shared" si="43"/>
        <v>4561094.975733283</v>
      </c>
    </row>
    <row r="676" spans="1:11" x14ac:dyDescent="0.25">
      <c r="A676" t="s">
        <v>685</v>
      </c>
      <c r="B676" t="s">
        <v>727</v>
      </c>
      <c r="C676" t="s">
        <v>735</v>
      </c>
      <c r="D676" s="1">
        <v>4515301</v>
      </c>
      <c r="E676" s="1">
        <f t="shared" si="41"/>
        <v>4928595.5579556758</v>
      </c>
      <c r="F676" s="1">
        <f t="shared" si="42"/>
        <v>5632680.6376636298</v>
      </c>
      <c r="G676" s="1">
        <f t="shared" si="42"/>
        <v>6195948.701429992</v>
      </c>
      <c r="H676" s="1">
        <f t="shared" si="42"/>
        <v>6759216.7651963551</v>
      </c>
      <c r="I676" s="1">
        <f t="shared" si="42"/>
        <v>7322484.8289627181</v>
      </c>
      <c r="J676" s="1">
        <f t="shared" si="42"/>
        <v>7885752.8927290812</v>
      </c>
      <c r="K676" s="1">
        <f t="shared" si="43"/>
        <v>8449020.9564954434</v>
      </c>
    </row>
    <row r="677" spans="1:11" x14ac:dyDescent="0.25">
      <c r="A677" t="s">
        <v>685</v>
      </c>
      <c r="B677" t="s">
        <v>727</v>
      </c>
      <c r="C677" t="s">
        <v>736</v>
      </c>
      <c r="D677" s="1">
        <v>10108865</v>
      </c>
      <c r="E677" s="1">
        <f t="shared" si="41"/>
        <v>11034149.691232901</v>
      </c>
      <c r="F677" s="1">
        <f t="shared" si="42"/>
        <v>12610456.789980458</v>
      </c>
      <c r="G677" s="1">
        <f t="shared" si="42"/>
        <v>13871502.468978502</v>
      </c>
      <c r="H677" s="1">
        <f t="shared" si="42"/>
        <v>15132548.147976547</v>
      </c>
      <c r="I677" s="1">
        <f t="shared" si="42"/>
        <v>16393593.826974595</v>
      </c>
      <c r="J677" s="1">
        <f t="shared" si="42"/>
        <v>17654639.505972639</v>
      </c>
      <c r="K677" s="1">
        <f t="shared" si="43"/>
        <v>18915685.184970684</v>
      </c>
    </row>
    <row r="678" spans="1:11" x14ac:dyDescent="0.25">
      <c r="A678" t="s">
        <v>685</v>
      </c>
      <c r="B678" t="s">
        <v>727</v>
      </c>
      <c r="C678" t="s">
        <v>737</v>
      </c>
      <c r="D678" s="1">
        <v>3461746</v>
      </c>
      <c r="E678" s="1">
        <f t="shared" si="41"/>
        <v>3778606.5554369087</v>
      </c>
      <c r="F678" s="1">
        <f t="shared" si="42"/>
        <v>4318407.4919278957</v>
      </c>
      <c r="G678" s="1">
        <f t="shared" si="42"/>
        <v>4750248.2411206849</v>
      </c>
      <c r="H678" s="1">
        <f t="shared" si="42"/>
        <v>5182088.990313475</v>
      </c>
      <c r="I678" s="1">
        <f t="shared" si="42"/>
        <v>5613929.7395062642</v>
      </c>
      <c r="J678" s="1">
        <f t="shared" si="42"/>
        <v>6045770.4886990534</v>
      </c>
      <c r="K678" s="1">
        <f t="shared" si="43"/>
        <v>6477611.2378918435</v>
      </c>
    </row>
    <row r="679" spans="1:11" x14ac:dyDescent="0.25">
      <c r="A679" t="s">
        <v>685</v>
      </c>
      <c r="B679" t="s">
        <v>727</v>
      </c>
      <c r="C679" t="s">
        <v>738</v>
      </c>
      <c r="D679" s="1">
        <v>4746783</v>
      </c>
      <c r="E679" s="1">
        <f t="shared" si="41"/>
        <v>5181265.5697548222</v>
      </c>
      <c r="F679" s="1">
        <f t="shared" si="42"/>
        <v>5921446.3654340822</v>
      </c>
      <c r="G679" s="1">
        <f t="shared" si="42"/>
        <v>6513591.0019774903</v>
      </c>
      <c r="H679" s="1">
        <f t="shared" si="42"/>
        <v>7105735.6385208983</v>
      </c>
      <c r="I679" s="1">
        <f t="shared" si="42"/>
        <v>7697880.2750643073</v>
      </c>
      <c r="J679" s="1">
        <f t="shared" si="42"/>
        <v>8290024.9116077144</v>
      </c>
      <c r="K679" s="1">
        <f t="shared" si="43"/>
        <v>8882169.5481511224</v>
      </c>
    </row>
    <row r="680" spans="1:11" x14ac:dyDescent="0.25">
      <c r="A680" t="s">
        <v>685</v>
      </c>
      <c r="B680" t="s">
        <v>727</v>
      </c>
      <c r="C680" t="s">
        <v>739</v>
      </c>
      <c r="D680" s="1">
        <v>5836571</v>
      </c>
      <c r="E680" s="1">
        <f t="shared" si="41"/>
        <v>6370804.051444836</v>
      </c>
      <c r="F680" s="1">
        <f t="shared" si="42"/>
        <v>7280918.9159369553</v>
      </c>
      <c r="G680" s="1">
        <f t="shared" si="42"/>
        <v>8009010.8075306499</v>
      </c>
      <c r="H680" s="1">
        <f t="shared" si="42"/>
        <v>8737102.6991243456</v>
      </c>
      <c r="I680" s="1">
        <f t="shared" si="42"/>
        <v>9465194.5907180421</v>
      </c>
      <c r="J680" s="1">
        <f t="shared" si="42"/>
        <v>10193286.482311737</v>
      </c>
      <c r="K680" s="1">
        <f t="shared" si="43"/>
        <v>10921378.373905431</v>
      </c>
    </row>
    <row r="681" spans="1:11" x14ac:dyDescent="0.25">
      <c r="A681" t="s">
        <v>685</v>
      </c>
      <c r="B681" t="s">
        <v>714</v>
      </c>
      <c r="C681" t="s">
        <v>740</v>
      </c>
      <c r="D681" s="1">
        <v>4510683</v>
      </c>
      <c r="E681" s="1">
        <f t="shared" si="41"/>
        <v>4923554.8631522423</v>
      </c>
      <c r="F681" s="1">
        <f t="shared" si="42"/>
        <v>5626919.8436025623</v>
      </c>
      <c r="G681" s="1">
        <f t="shared" si="42"/>
        <v>6189611.8279628186</v>
      </c>
      <c r="H681" s="1">
        <f t="shared" si="42"/>
        <v>6752303.8123230748</v>
      </c>
      <c r="I681" s="1">
        <f t="shared" si="42"/>
        <v>7314995.796683331</v>
      </c>
      <c r="J681" s="1">
        <f t="shared" si="42"/>
        <v>7877687.7810435863</v>
      </c>
      <c r="K681" s="1">
        <f t="shared" si="43"/>
        <v>8440379.7654038426</v>
      </c>
    </row>
    <row r="682" spans="1:11" x14ac:dyDescent="0.25">
      <c r="A682" t="s">
        <v>685</v>
      </c>
      <c r="B682" t="s">
        <v>727</v>
      </c>
      <c r="C682" t="s">
        <v>742</v>
      </c>
      <c r="D682" s="1">
        <v>5172843</v>
      </c>
      <c r="E682" s="1">
        <f t="shared" si="41"/>
        <v>5646323.6962058814</v>
      </c>
      <c r="F682" s="1">
        <f t="shared" si="42"/>
        <v>6452941.3670924362</v>
      </c>
      <c r="G682" s="1">
        <f t="shared" si="42"/>
        <v>7098235.5038016792</v>
      </c>
      <c r="H682" s="1">
        <f t="shared" si="42"/>
        <v>7743529.6405109223</v>
      </c>
      <c r="I682" s="1">
        <f t="shared" si="42"/>
        <v>8388823.7772201672</v>
      </c>
      <c r="J682" s="1">
        <f t="shared" si="42"/>
        <v>9034117.9139294103</v>
      </c>
      <c r="K682" s="1">
        <f t="shared" si="43"/>
        <v>9679412.0506386533</v>
      </c>
    </row>
    <row r="683" spans="1:11" x14ac:dyDescent="0.25">
      <c r="A683" t="s">
        <v>685</v>
      </c>
      <c r="B683" t="s">
        <v>741</v>
      </c>
      <c r="C683" t="s">
        <v>743</v>
      </c>
      <c r="D683" s="1">
        <v>3219225</v>
      </c>
      <c r="E683" s="1">
        <f t="shared" si="41"/>
        <v>3513887.1218241844</v>
      </c>
      <c r="F683" s="1">
        <f t="shared" si="42"/>
        <v>4015870.9963704962</v>
      </c>
      <c r="G683" s="1">
        <f t="shared" si="42"/>
        <v>4417458.0960075455</v>
      </c>
      <c r="H683" s="1">
        <f t="shared" si="42"/>
        <v>4819045.1956445957</v>
      </c>
      <c r="I683" s="1">
        <f t="shared" si="42"/>
        <v>5220632.2952816449</v>
      </c>
      <c r="J683" s="1">
        <f t="shared" si="42"/>
        <v>5622219.3949186942</v>
      </c>
      <c r="K683" s="1">
        <f t="shared" si="43"/>
        <v>6023806.4945557443</v>
      </c>
    </row>
    <row r="684" spans="1:11" x14ac:dyDescent="0.25">
      <c r="A684" t="s">
        <v>685</v>
      </c>
      <c r="B684" t="s">
        <v>686</v>
      </c>
      <c r="C684" t="s">
        <v>744</v>
      </c>
      <c r="D684" s="1">
        <v>3601712</v>
      </c>
      <c r="E684" s="1">
        <f t="shared" si="41"/>
        <v>3931383.9241803931</v>
      </c>
      <c r="F684" s="1">
        <f t="shared" si="42"/>
        <v>4493010.1990633067</v>
      </c>
      <c r="G684" s="1">
        <f t="shared" si="42"/>
        <v>4942311.2189696366</v>
      </c>
      <c r="H684" s="1">
        <f t="shared" si="42"/>
        <v>5391612.2388759675</v>
      </c>
      <c r="I684" s="1">
        <f t="shared" si="42"/>
        <v>5840913.2587822983</v>
      </c>
      <c r="J684" s="1">
        <f t="shared" si="42"/>
        <v>6290214.2786886282</v>
      </c>
      <c r="K684" s="1">
        <f t="shared" si="43"/>
        <v>6739515.2985949591</v>
      </c>
    </row>
    <row r="685" spans="1:11" x14ac:dyDescent="0.25">
      <c r="A685" t="s">
        <v>685</v>
      </c>
      <c r="B685" t="s">
        <v>741</v>
      </c>
      <c r="C685" t="s">
        <v>745</v>
      </c>
      <c r="D685" s="1">
        <v>6447978</v>
      </c>
      <c r="E685" s="1">
        <f t="shared" si="41"/>
        <v>7038174.3606009707</v>
      </c>
      <c r="F685" s="1">
        <f t="shared" si="42"/>
        <v>8043627.8406868242</v>
      </c>
      <c r="G685" s="1">
        <f t="shared" si="42"/>
        <v>8847990.6247555055</v>
      </c>
      <c r="H685" s="1">
        <f t="shared" si="42"/>
        <v>9652353.4088241886</v>
      </c>
      <c r="I685" s="1">
        <f t="shared" si="42"/>
        <v>10456716.19289287</v>
      </c>
      <c r="J685" s="1">
        <f t="shared" si="42"/>
        <v>11261078.976961551</v>
      </c>
      <c r="K685" s="1">
        <f t="shared" si="43"/>
        <v>12065441.761030234</v>
      </c>
    </row>
    <row r="686" spans="1:11" x14ac:dyDescent="0.25">
      <c r="A686" t="s">
        <v>685</v>
      </c>
      <c r="B686" t="s">
        <v>741</v>
      </c>
      <c r="C686" t="s">
        <v>746</v>
      </c>
      <c r="D686" s="1">
        <v>4976854</v>
      </c>
      <c r="E686" s="1">
        <f t="shared" si="41"/>
        <v>5432395.4298935859</v>
      </c>
      <c r="F686" s="1">
        <f t="shared" si="42"/>
        <v>6208451.9198783841</v>
      </c>
      <c r="G686" s="1">
        <f t="shared" si="42"/>
        <v>6829297.1118662218</v>
      </c>
      <c r="H686" s="1">
        <f t="shared" si="42"/>
        <v>7450142.3038540604</v>
      </c>
      <c r="I686" s="1">
        <f t="shared" si="42"/>
        <v>8070987.495841899</v>
      </c>
      <c r="J686" s="1">
        <f t="shared" si="42"/>
        <v>8691832.6878297366</v>
      </c>
      <c r="K686" s="1">
        <f t="shared" si="43"/>
        <v>9312677.8798175752</v>
      </c>
    </row>
    <row r="687" spans="1:11" x14ac:dyDescent="0.25">
      <c r="A687" t="s">
        <v>685</v>
      </c>
      <c r="B687" t="s">
        <v>741</v>
      </c>
      <c r="C687" t="s">
        <v>747</v>
      </c>
      <c r="D687" s="1">
        <v>2598836</v>
      </c>
      <c r="E687" s="1">
        <f t="shared" si="41"/>
        <v>2836712.6721906904</v>
      </c>
      <c r="F687" s="1">
        <f t="shared" si="42"/>
        <v>3241957.3396465033</v>
      </c>
      <c r="G687" s="1">
        <f t="shared" si="42"/>
        <v>3566153.0736111533</v>
      </c>
      <c r="H687" s="1">
        <f t="shared" si="42"/>
        <v>3890348.8075758042</v>
      </c>
      <c r="I687" s="1">
        <f t="shared" si="42"/>
        <v>4214544.5415404541</v>
      </c>
      <c r="J687" s="1">
        <f t="shared" ref="J687:J696" si="44">J$1/SUM($D$3:$D$696)*$D687</f>
        <v>4538740.2755051041</v>
      </c>
      <c r="K687" s="1">
        <f t="shared" si="43"/>
        <v>4862936.009469755</v>
      </c>
    </row>
    <row r="688" spans="1:11" x14ac:dyDescent="0.25">
      <c r="A688" t="s">
        <v>685</v>
      </c>
      <c r="B688" t="s">
        <v>741</v>
      </c>
      <c r="C688" t="s">
        <v>748</v>
      </c>
      <c r="D688" s="1">
        <v>3357812</v>
      </c>
      <c r="E688" s="1">
        <f t="shared" si="41"/>
        <v>3665159.2679314767</v>
      </c>
      <c r="F688" s="1">
        <f t="shared" si="42"/>
        <v>4188753.4490645449</v>
      </c>
      <c r="G688" s="1">
        <f t="shared" si="42"/>
        <v>4607628.7939709984</v>
      </c>
      <c r="H688" s="1">
        <f t="shared" si="42"/>
        <v>5026504.1388774533</v>
      </c>
      <c r="I688" s="1">
        <f t="shared" si="42"/>
        <v>5445379.4837839082</v>
      </c>
      <c r="J688" s="1">
        <f t="shared" si="44"/>
        <v>5864254.8286903622</v>
      </c>
      <c r="K688" s="1">
        <f t="shared" si="43"/>
        <v>6283130.1735968171</v>
      </c>
    </row>
    <row r="689" spans="1:11" x14ac:dyDescent="0.25">
      <c r="A689" t="s">
        <v>685</v>
      </c>
      <c r="B689" t="s">
        <v>741</v>
      </c>
      <c r="C689" t="s">
        <v>749</v>
      </c>
      <c r="D689" s="1">
        <v>7758608</v>
      </c>
      <c r="E689" s="1">
        <f t="shared" si="41"/>
        <v>8468768.9535469227</v>
      </c>
      <c r="F689" s="1">
        <f t="shared" si="42"/>
        <v>9678593.0897679105</v>
      </c>
      <c r="G689" s="1">
        <f t="shared" si="42"/>
        <v>10646452.3987447</v>
      </c>
      <c r="H689" s="1">
        <f t="shared" si="42"/>
        <v>11614311.707721492</v>
      </c>
      <c r="I689" s="1">
        <f t="shared" si="42"/>
        <v>12582171.016698284</v>
      </c>
      <c r="J689" s="1">
        <f t="shared" si="44"/>
        <v>13550030.325675074</v>
      </c>
      <c r="K689" s="1">
        <f t="shared" si="43"/>
        <v>14517889.634651866</v>
      </c>
    </row>
    <row r="690" spans="1:11" x14ac:dyDescent="0.25">
      <c r="A690" t="s">
        <v>685</v>
      </c>
      <c r="B690" t="s">
        <v>741</v>
      </c>
      <c r="C690" t="s">
        <v>750</v>
      </c>
      <c r="D690" s="1">
        <v>4642931</v>
      </c>
      <c r="E690" s="1">
        <f t="shared" si="41"/>
        <v>5067907.7878738772</v>
      </c>
      <c r="F690" s="1">
        <f t="shared" si="42"/>
        <v>5791894.614713002</v>
      </c>
      <c r="G690" s="1">
        <f t="shared" si="42"/>
        <v>6371084.0761843016</v>
      </c>
      <c r="H690" s="1">
        <f t="shared" si="42"/>
        <v>6950273.5376556022</v>
      </c>
      <c r="I690" s="1">
        <f t="shared" si="42"/>
        <v>7529462.9991269028</v>
      </c>
      <c r="J690" s="1">
        <f t="shared" si="44"/>
        <v>8108652.4605982024</v>
      </c>
      <c r="K690" s="1">
        <f t="shared" si="43"/>
        <v>8687841.922069503</v>
      </c>
    </row>
    <row r="691" spans="1:11" x14ac:dyDescent="0.25">
      <c r="A691" t="s">
        <v>685</v>
      </c>
      <c r="B691" t="s">
        <v>741</v>
      </c>
      <c r="C691" t="s">
        <v>751</v>
      </c>
      <c r="D691" s="1">
        <v>3576586</v>
      </c>
      <c r="E691" s="1">
        <f t="shared" si="41"/>
        <v>3903958.0909991292</v>
      </c>
      <c r="F691" s="1">
        <f t="shared" si="42"/>
        <v>4461666.3897132901</v>
      </c>
      <c r="G691" s="1">
        <f t="shared" si="42"/>
        <v>4907833.0286846189</v>
      </c>
      <c r="H691" s="1">
        <f t="shared" si="42"/>
        <v>5353999.6676559485</v>
      </c>
      <c r="I691" s="1">
        <f t="shared" si="42"/>
        <v>5800166.3066272773</v>
      </c>
      <c r="J691" s="1">
        <f t="shared" si="44"/>
        <v>6246332.945598606</v>
      </c>
      <c r="K691" s="1">
        <f t="shared" si="43"/>
        <v>6692499.5845699357</v>
      </c>
    </row>
    <row r="692" spans="1:11" x14ac:dyDescent="0.25">
      <c r="A692" t="s">
        <v>685</v>
      </c>
      <c r="B692" t="s">
        <v>741</v>
      </c>
      <c r="C692" t="s">
        <v>752</v>
      </c>
      <c r="D692" s="1">
        <v>4959135</v>
      </c>
      <c r="E692" s="1">
        <f t="shared" si="41"/>
        <v>5413054.5742803244</v>
      </c>
      <c r="F692" s="1">
        <f t="shared" si="42"/>
        <v>6186348.0848917989</v>
      </c>
      <c r="G692" s="1">
        <f t="shared" si="42"/>
        <v>6804982.8933809781</v>
      </c>
      <c r="H692" s="1">
        <f t="shared" si="42"/>
        <v>7423617.7018701583</v>
      </c>
      <c r="I692" s="1">
        <f t="shared" si="42"/>
        <v>8042252.5103593385</v>
      </c>
      <c r="J692" s="1">
        <f t="shared" si="44"/>
        <v>8660887.3188485168</v>
      </c>
      <c r="K692" s="1">
        <f t="shared" si="43"/>
        <v>9279522.1273376979</v>
      </c>
    </row>
    <row r="693" spans="1:11" x14ac:dyDescent="0.25">
      <c r="A693" t="s">
        <v>685</v>
      </c>
      <c r="B693" t="s">
        <v>741</v>
      </c>
      <c r="C693" t="s">
        <v>753</v>
      </c>
      <c r="D693" s="1">
        <v>3417026</v>
      </c>
      <c r="E693" s="1">
        <f t="shared" si="41"/>
        <v>3729793.2441312443</v>
      </c>
      <c r="F693" s="1">
        <f t="shared" si="42"/>
        <v>4262620.8504357077</v>
      </c>
      <c r="G693" s="1">
        <f t="shared" si="42"/>
        <v>4688882.9354792777</v>
      </c>
      <c r="H693" s="1">
        <f t="shared" si="42"/>
        <v>5115145.0205228487</v>
      </c>
      <c r="I693" s="1">
        <f t="shared" si="42"/>
        <v>5541407.1055664197</v>
      </c>
      <c r="J693" s="1">
        <f t="shared" si="44"/>
        <v>5967669.1906099906</v>
      </c>
      <c r="K693" s="1">
        <f t="shared" si="43"/>
        <v>6393931.2756535616</v>
      </c>
    </row>
    <row r="694" spans="1:11" x14ac:dyDescent="0.25">
      <c r="A694" t="s">
        <v>685</v>
      </c>
      <c r="B694" t="s">
        <v>741</v>
      </c>
      <c r="C694" t="s">
        <v>754</v>
      </c>
      <c r="D694" s="1">
        <v>11346982</v>
      </c>
      <c r="E694" s="1">
        <f t="shared" si="41"/>
        <v>12385594.023832079</v>
      </c>
      <c r="F694" s="1">
        <f t="shared" si="42"/>
        <v>14154964.598665234</v>
      </c>
      <c r="G694" s="1">
        <f t="shared" si="42"/>
        <v>15570461.058531756</v>
      </c>
      <c r="H694" s="1">
        <f t="shared" si="42"/>
        <v>16985957.518398281</v>
      </c>
      <c r="I694" s="1">
        <f t="shared" si="42"/>
        <v>18401453.978264805</v>
      </c>
      <c r="J694" s="1">
        <f t="shared" si="44"/>
        <v>19816950.438131325</v>
      </c>
      <c r="K694" s="1">
        <f t="shared" si="43"/>
        <v>21232446.897997849</v>
      </c>
    </row>
    <row r="695" spans="1:11" x14ac:dyDescent="0.25">
      <c r="A695" t="s">
        <v>685</v>
      </c>
      <c r="B695" t="s">
        <v>741</v>
      </c>
      <c r="C695" t="s">
        <v>755</v>
      </c>
      <c r="D695" s="1">
        <v>5208196</v>
      </c>
      <c r="E695" s="1">
        <f t="shared" si="41"/>
        <v>5684912.6272119004</v>
      </c>
      <c r="F695" s="1">
        <f t="shared" si="42"/>
        <v>6497043.0025278861</v>
      </c>
      <c r="G695" s="1">
        <f t="shared" si="42"/>
        <v>7146747.3027806738</v>
      </c>
      <c r="H695" s="1">
        <f t="shared" si="42"/>
        <v>7796451.6030334625</v>
      </c>
      <c r="I695" s="1">
        <f t="shared" si="42"/>
        <v>8446155.9032862522</v>
      </c>
      <c r="J695" s="1">
        <f t="shared" si="44"/>
        <v>9095860.2035390399</v>
      </c>
      <c r="K695" s="1">
        <f t="shared" si="43"/>
        <v>9745564.5037918277</v>
      </c>
    </row>
    <row r="696" spans="1:11" x14ac:dyDescent="0.25">
      <c r="A696" t="s">
        <v>685</v>
      </c>
      <c r="B696" t="s">
        <v>741</v>
      </c>
      <c r="C696" t="s">
        <v>756</v>
      </c>
      <c r="D696" s="1">
        <v>3801799</v>
      </c>
      <c r="E696" s="1">
        <f t="shared" si="41"/>
        <v>4149785.2886530338</v>
      </c>
      <c r="F696" s="1">
        <f t="shared" si="42"/>
        <v>4742611.7584606102</v>
      </c>
      <c r="G696" s="1">
        <f t="shared" si="42"/>
        <v>5216872.93430667</v>
      </c>
      <c r="H696" s="1">
        <f t="shared" si="42"/>
        <v>5691134.1101527316</v>
      </c>
      <c r="I696" s="1">
        <f t="shared" si="42"/>
        <v>6165395.2859987924</v>
      </c>
      <c r="J696" s="1">
        <f t="shared" si="44"/>
        <v>6639656.4618448531</v>
      </c>
      <c r="K696" s="1">
        <f t="shared" si="43"/>
        <v>7113917.6376909139</v>
      </c>
    </row>
    <row r="697" spans="1:11" x14ac:dyDescent="0.25">
      <c r="D697" s="1">
        <v>3206502403</v>
      </c>
      <c r="E697" s="1">
        <f t="shared" ref="E697:F697" si="45">SUM(E3:E696)</f>
        <v>3500000000.0000033</v>
      </c>
      <c r="F697" s="1">
        <f t="shared" si="45"/>
        <v>3999999999.9999952</v>
      </c>
      <c r="G697" s="1">
        <f t="shared" ref="G697:K697" si="46">SUM(G3:G696)</f>
        <v>4399999999.9999962</v>
      </c>
      <c r="H697" s="1">
        <f t="shared" si="46"/>
        <v>4800000000</v>
      </c>
      <c r="I697" s="1">
        <f t="shared" si="46"/>
        <v>5199999999.9999933</v>
      </c>
      <c r="J697" s="1">
        <f t="shared" si="46"/>
        <v>5599999999.999999</v>
      </c>
      <c r="K697" s="1">
        <f t="shared" si="46"/>
        <v>5999999999.9999971</v>
      </c>
    </row>
  </sheetData>
  <autoFilter ref="A2:E697" xr:uid="{405484EE-74C4-4EA4-8144-B1ABF023BFF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Plaza SP Tar &amp; Ben</vt:lpstr>
      <vt:lpstr>Cal</vt:lpstr>
      <vt:lpstr>Plaza SP 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Kabir Abid</dc:creator>
  <cp:lastModifiedBy>t45102</cp:lastModifiedBy>
  <dcterms:created xsi:type="dcterms:W3CDTF">2015-06-05T18:17:20Z</dcterms:created>
  <dcterms:modified xsi:type="dcterms:W3CDTF">2026-06-07T06:22:43Z</dcterms:modified>
</cp:coreProperties>
</file>